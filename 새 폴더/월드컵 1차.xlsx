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slicers/slicer2.xml" ContentType="application/vnd.ms-excel.slicer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원영이\Desktop\"/>
    </mc:Choice>
  </mc:AlternateContent>
  <xr:revisionPtr revIDLastSave="0" documentId="13_ncr:1_{F34A1FB9-933B-4071-8F70-A34B70074CBB}" xr6:coauthVersionLast="47" xr6:coauthVersionMax="47" xr10:uidLastSave="{00000000-0000-0000-0000-000000000000}"/>
  <bookViews>
    <workbookView xWindow="-114" yWindow="-114" windowWidth="36727" windowHeight="20317" firstSheet="4" activeTab="6" xr2:uid="{6BFAF7FA-D755-4D26-B6F4-27E06D787CC2}"/>
  </bookViews>
  <sheets>
    <sheet name="내경기 진행상황" sheetId="1" state="hidden" r:id="rId1"/>
    <sheet name="1부리그" sheetId="7" state="hidden" r:id="rId2"/>
    <sheet name="Sheet2" sheetId="10" state="hidden" r:id="rId3"/>
    <sheet name="리그테이블 DB" sheetId="6" state="hidden" r:id="rId4"/>
    <sheet name="2부리그" sheetId="3" r:id="rId5"/>
    <sheet name="월드컵" sheetId="4" r:id="rId6"/>
    <sheet name="유로" sheetId="9" r:id="rId7"/>
    <sheet name="FA CUP" sheetId="8" state="hidden" r:id="rId8"/>
  </sheets>
  <definedNames>
    <definedName name="슬라이서_상대팀">#N/A</definedName>
    <definedName name="슬라이서_상대팀1">#N/A</definedName>
    <definedName name="슬라이서_팀">#N/A</definedName>
    <definedName name="슬라이서_팀1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9"/>
        <x14:slicerCache r:id="rId10"/>
        <x14:slicerCache r:id="rId11"/>
        <x14:slicerCache r:id="rId12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7" i="9" l="1"/>
  <c r="P27" i="9"/>
  <c r="O27" i="9"/>
  <c r="T27" i="9" s="1"/>
  <c r="S26" i="9"/>
  <c r="P26" i="9"/>
  <c r="O26" i="9"/>
  <c r="T26" i="9" s="1"/>
  <c r="S25" i="9"/>
  <c r="P25" i="9"/>
  <c r="O25" i="9"/>
  <c r="T25" i="9" s="1"/>
  <c r="S24" i="9"/>
  <c r="AB18" i="9" s="1"/>
  <c r="P24" i="9"/>
  <c r="O24" i="9"/>
  <c r="T24" i="9" s="1"/>
  <c r="S23" i="9"/>
  <c r="P23" i="9"/>
  <c r="O23" i="9"/>
  <c r="T23" i="9" s="1"/>
  <c r="S22" i="9"/>
  <c r="P22" i="9"/>
  <c r="AA18" i="9" s="1"/>
  <c r="O22" i="9"/>
  <c r="T22" i="9" s="1"/>
  <c r="S18" i="9"/>
  <c r="P18" i="9"/>
  <c r="O18" i="9"/>
  <c r="T18" i="9" s="1"/>
  <c r="S17" i="9"/>
  <c r="P17" i="9"/>
  <c r="O17" i="9"/>
  <c r="T17" i="9" s="1"/>
  <c r="S16" i="9"/>
  <c r="P16" i="9"/>
  <c r="O16" i="9"/>
  <c r="T16" i="9" s="1"/>
  <c r="S15" i="9"/>
  <c r="P15" i="9"/>
  <c r="O15" i="9"/>
  <c r="T15" i="9" s="1"/>
  <c r="S14" i="9"/>
  <c r="P14" i="9"/>
  <c r="O14" i="9"/>
  <c r="T14" i="9" s="1"/>
  <c r="S13" i="9"/>
  <c r="P13" i="9"/>
  <c r="O13" i="9"/>
  <c r="T13" i="9" s="1"/>
  <c r="AA16" i="9"/>
  <c r="S9" i="9"/>
  <c r="P9" i="9"/>
  <c r="O9" i="9"/>
  <c r="T9" i="9" s="1"/>
  <c r="S8" i="9"/>
  <c r="P8" i="9"/>
  <c r="O8" i="9"/>
  <c r="T8" i="9" s="1"/>
  <c r="S7" i="9"/>
  <c r="P7" i="9"/>
  <c r="O7" i="9"/>
  <c r="T7" i="9" s="1"/>
  <c r="S6" i="9"/>
  <c r="P6" i="9"/>
  <c r="O6" i="9"/>
  <c r="T6" i="9" s="1"/>
  <c r="S5" i="9"/>
  <c r="P5" i="9"/>
  <c r="O5" i="9"/>
  <c r="T5" i="9" s="1"/>
  <c r="S4" i="9"/>
  <c r="P4" i="9"/>
  <c r="O4" i="9"/>
  <c r="T4" i="9" s="1"/>
  <c r="G15" i="8"/>
  <c r="F17" i="8"/>
  <c r="F15" i="8"/>
  <c r="F11" i="8"/>
  <c r="F9" i="8"/>
  <c r="F3" i="8"/>
  <c r="X26" i="4"/>
  <c r="Y26" i="4"/>
  <c r="AA26" i="4"/>
  <c r="S40" i="4"/>
  <c r="P40" i="4"/>
  <c r="O40" i="4"/>
  <c r="T40" i="4" s="1"/>
  <c r="S39" i="4"/>
  <c r="P39" i="4"/>
  <c r="O39" i="4"/>
  <c r="T39" i="4" s="1"/>
  <c r="S38" i="4"/>
  <c r="P38" i="4"/>
  <c r="O38" i="4"/>
  <c r="T38" i="4" s="1"/>
  <c r="S37" i="4"/>
  <c r="P37" i="4"/>
  <c r="O37" i="4"/>
  <c r="T37" i="4" s="1"/>
  <c r="S36" i="4"/>
  <c r="P36" i="4"/>
  <c r="O36" i="4"/>
  <c r="S35" i="4"/>
  <c r="P35" i="4"/>
  <c r="O35" i="4"/>
  <c r="T35" i="4" s="1"/>
  <c r="F5" i="1" s="1"/>
  <c r="J5" i="6"/>
  <c r="I5" i="6"/>
  <c r="J4" i="6"/>
  <c r="I4" i="6"/>
  <c r="J9" i="6"/>
  <c r="I9" i="6"/>
  <c r="J6" i="6"/>
  <c r="I6" i="6"/>
  <c r="J7" i="6"/>
  <c r="I7" i="6"/>
  <c r="J8" i="6"/>
  <c r="I8" i="6"/>
  <c r="Q70" i="7"/>
  <c r="Q68" i="7"/>
  <c r="Q66" i="7"/>
  <c r="Q64" i="7"/>
  <c r="Q62" i="7"/>
  <c r="Q69" i="7"/>
  <c r="Q67" i="7"/>
  <c r="Q65" i="7"/>
  <c r="Q63" i="7"/>
  <c r="Q61" i="7"/>
  <c r="Q60" i="7"/>
  <c r="Q58" i="7"/>
  <c r="Q56" i="7"/>
  <c r="Q54" i="7"/>
  <c r="Q52" i="7"/>
  <c r="Q59" i="7"/>
  <c r="Q57" i="7"/>
  <c r="Q55" i="7"/>
  <c r="Q53" i="7"/>
  <c r="Q51" i="7"/>
  <c r="Q20" i="7"/>
  <c r="C14" i="1" s="1"/>
  <c r="Q18" i="7"/>
  <c r="C12" i="1" s="1"/>
  <c r="Q16" i="7"/>
  <c r="C10" i="1" s="1"/>
  <c r="Q14" i="7"/>
  <c r="C8" i="1" s="1"/>
  <c r="Q12" i="7"/>
  <c r="C6" i="1" s="1"/>
  <c r="Q19" i="7"/>
  <c r="C13" i="1" s="1"/>
  <c r="Q17" i="7"/>
  <c r="C11" i="1" s="1"/>
  <c r="Q15" i="7"/>
  <c r="C9" i="1" s="1"/>
  <c r="Q13" i="7"/>
  <c r="C7" i="1" s="1"/>
  <c r="Q11" i="7"/>
  <c r="C5" i="1" s="1"/>
  <c r="Q40" i="7"/>
  <c r="Q38" i="7"/>
  <c r="Q36" i="7"/>
  <c r="Q34" i="7"/>
  <c r="Q32" i="7"/>
  <c r="Q39" i="7"/>
  <c r="Q37" i="7"/>
  <c r="Q35" i="7"/>
  <c r="Q33" i="7"/>
  <c r="Q31" i="7"/>
  <c r="Q30" i="7"/>
  <c r="Q28" i="7"/>
  <c r="Q26" i="7"/>
  <c r="Q24" i="7"/>
  <c r="Q22" i="7"/>
  <c r="Q29" i="7"/>
  <c r="Q27" i="7"/>
  <c r="Q25" i="7"/>
  <c r="Q23" i="7"/>
  <c r="Q21" i="7"/>
  <c r="Q50" i="7"/>
  <c r="Q48" i="7"/>
  <c r="Q46" i="7"/>
  <c r="Q44" i="7"/>
  <c r="Q42" i="7"/>
  <c r="Q49" i="7"/>
  <c r="Q47" i="7"/>
  <c r="Q45" i="7"/>
  <c r="Q43" i="7"/>
  <c r="Q41" i="7"/>
  <c r="Q124" i="3"/>
  <c r="Q120" i="3"/>
  <c r="Q122" i="3"/>
  <c r="Q118" i="3"/>
  <c r="Q116" i="3"/>
  <c r="Q112" i="3"/>
  <c r="Q121" i="3"/>
  <c r="Q117" i="3"/>
  <c r="Q113" i="3"/>
  <c r="Q110" i="3"/>
  <c r="Q106" i="3"/>
  <c r="Q102" i="3"/>
  <c r="Q98" i="3"/>
  <c r="Q114" i="3"/>
  <c r="Q123" i="3"/>
  <c r="Q119" i="3"/>
  <c r="Q115" i="3"/>
  <c r="Q111" i="3"/>
  <c r="Q108" i="3"/>
  <c r="Q104" i="3"/>
  <c r="Q100" i="3"/>
  <c r="Q109" i="3"/>
  <c r="Q107" i="3"/>
  <c r="Q103" i="3"/>
  <c r="Q99" i="3"/>
  <c r="Q96" i="3"/>
  <c r="Q92" i="3"/>
  <c r="Q88" i="3"/>
  <c r="Q84" i="3"/>
  <c r="Q93" i="3"/>
  <c r="Q89" i="3"/>
  <c r="Q105" i="3"/>
  <c r="Q101" i="3"/>
  <c r="Q97" i="3"/>
  <c r="Q94" i="3"/>
  <c r="Q90" i="3"/>
  <c r="Q86" i="3"/>
  <c r="Q95" i="3"/>
  <c r="Q91" i="3"/>
  <c r="Q87" i="3"/>
  <c r="Q85" i="3"/>
  <c r="Q82" i="3"/>
  <c r="Q78" i="3"/>
  <c r="Q74" i="3"/>
  <c r="Q70" i="3"/>
  <c r="Q79" i="3"/>
  <c r="Q75" i="3"/>
  <c r="Q71" i="3"/>
  <c r="Q68" i="3"/>
  <c r="Q83" i="3"/>
  <c r="Q80" i="3"/>
  <c r="Q76" i="3"/>
  <c r="Q72" i="3"/>
  <c r="Q81" i="3"/>
  <c r="Q77" i="3"/>
  <c r="Q73" i="3"/>
  <c r="Q69" i="3"/>
  <c r="Q66" i="3"/>
  <c r="Q64" i="3"/>
  <c r="Q60" i="3"/>
  <c r="Q56" i="3"/>
  <c r="Q65" i="3"/>
  <c r="Q61" i="3"/>
  <c r="Q57" i="3"/>
  <c r="Q54" i="3"/>
  <c r="Q50" i="3"/>
  <c r="Q46" i="3"/>
  <c r="Q62" i="3"/>
  <c r="Q58" i="3"/>
  <c r="Q67" i="3"/>
  <c r="Q63" i="3"/>
  <c r="Q59" i="3"/>
  <c r="Q55" i="3"/>
  <c r="Q52" i="3"/>
  <c r="Q48" i="3"/>
  <c r="Q44" i="3"/>
  <c r="Q42" i="3"/>
  <c r="Q51" i="3"/>
  <c r="Q47" i="3"/>
  <c r="Q43" i="3"/>
  <c r="Q40" i="3"/>
  <c r="Q36" i="3"/>
  <c r="Q32" i="3"/>
  <c r="Q28" i="3"/>
  <c r="Q37" i="3"/>
  <c r="Q53" i="3"/>
  <c r="Q49" i="3"/>
  <c r="Q45" i="3"/>
  <c r="Q41" i="3"/>
  <c r="Q38" i="3"/>
  <c r="Q34" i="3"/>
  <c r="Q30" i="3"/>
  <c r="Q39" i="3"/>
  <c r="Q35" i="3"/>
  <c r="Q33" i="3"/>
  <c r="Q29" i="3"/>
  <c r="Q26" i="3"/>
  <c r="Q22" i="3"/>
  <c r="Q18" i="3"/>
  <c r="Q14" i="3"/>
  <c r="Q23" i="3"/>
  <c r="Q19" i="3"/>
  <c r="Q15" i="3"/>
  <c r="Q31" i="3"/>
  <c r="Q27" i="3"/>
  <c r="Q24" i="3"/>
  <c r="Q20" i="3"/>
  <c r="Q16" i="3"/>
  <c r="Q25" i="3"/>
  <c r="Q21" i="3"/>
  <c r="Q17" i="3"/>
  <c r="Q13" i="3"/>
  <c r="T10" i="6"/>
  <c r="T11" i="6"/>
  <c r="T4" i="6"/>
  <c r="T5" i="6"/>
  <c r="T7" i="6"/>
  <c r="T8" i="6"/>
  <c r="T6" i="6"/>
  <c r="T9" i="6"/>
  <c r="S10" i="6"/>
  <c r="S11" i="6"/>
  <c r="S4" i="6"/>
  <c r="S5" i="6"/>
  <c r="S7" i="6"/>
  <c r="S8" i="6"/>
  <c r="S6" i="6"/>
  <c r="S9" i="6"/>
  <c r="S16" i="4"/>
  <c r="P16" i="4"/>
  <c r="O16" i="4"/>
  <c r="T16" i="4" s="1"/>
  <c r="S15" i="4"/>
  <c r="P15" i="4"/>
  <c r="O15" i="4"/>
  <c r="T15" i="4" s="1"/>
  <c r="S14" i="4"/>
  <c r="P14" i="4"/>
  <c r="O14" i="4"/>
  <c r="T14" i="4" s="1"/>
  <c r="S13" i="4"/>
  <c r="P13" i="4"/>
  <c r="O13" i="4"/>
  <c r="T13" i="4" s="1"/>
  <c r="S12" i="4"/>
  <c r="P12" i="4"/>
  <c r="O12" i="4"/>
  <c r="T12" i="4" s="1"/>
  <c r="S11" i="4"/>
  <c r="P11" i="4"/>
  <c r="O11" i="4"/>
  <c r="T11" i="4" s="1"/>
  <c r="S10" i="4"/>
  <c r="P10" i="4"/>
  <c r="O10" i="4"/>
  <c r="T10" i="4" s="1"/>
  <c r="S9" i="4"/>
  <c r="P9" i="4"/>
  <c r="O9" i="4"/>
  <c r="T9" i="4" s="1"/>
  <c r="S8" i="4"/>
  <c r="P8" i="4"/>
  <c r="O8" i="4"/>
  <c r="T8" i="4" s="1"/>
  <c r="S7" i="4"/>
  <c r="P7" i="4"/>
  <c r="O7" i="4"/>
  <c r="T7" i="4" s="1"/>
  <c r="S6" i="4"/>
  <c r="P6" i="4"/>
  <c r="O6" i="4"/>
  <c r="T6" i="4" s="1"/>
  <c r="S5" i="4"/>
  <c r="P5" i="4"/>
  <c r="O5" i="4"/>
  <c r="T5" i="4" s="1"/>
  <c r="S49" i="4"/>
  <c r="P49" i="4"/>
  <c r="O49" i="4"/>
  <c r="T49" i="4" s="1"/>
  <c r="S48" i="4"/>
  <c r="P48" i="4"/>
  <c r="O48" i="4"/>
  <c r="T48" i="4" s="1"/>
  <c r="S47" i="4"/>
  <c r="P47" i="4"/>
  <c r="O47" i="4"/>
  <c r="T47" i="4" s="1"/>
  <c r="S46" i="4"/>
  <c r="P46" i="4"/>
  <c r="O46" i="4"/>
  <c r="T46" i="4" s="1"/>
  <c r="S45" i="4"/>
  <c r="P45" i="4"/>
  <c r="O45" i="4"/>
  <c r="T45" i="4" s="1"/>
  <c r="S44" i="4"/>
  <c r="P44" i="4"/>
  <c r="O44" i="4"/>
  <c r="T44" i="4" s="1"/>
  <c r="S31" i="4"/>
  <c r="P31" i="4"/>
  <c r="O31" i="4"/>
  <c r="T31" i="4" s="1"/>
  <c r="S30" i="4"/>
  <c r="P30" i="4"/>
  <c r="O30" i="4"/>
  <c r="T30" i="4" s="1"/>
  <c r="S29" i="4"/>
  <c r="P29" i="4"/>
  <c r="O29" i="4"/>
  <c r="T29" i="4" s="1"/>
  <c r="S28" i="4"/>
  <c r="P28" i="4"/>
  <c r="O28" i="4"/>
  <c r="T28" i="4" s="1"/>
  <c r="S27" i="4"/>
  <c r="P27" i="4"/>
  <c r="O27" i="4"/>
  <c r="T27" i="4" s="1"/>
  <c r="S26" i="4"/>
  <c r="P26" i="4"/>
  <c r="O26" i="4"/>
  <c r="T26" i="4" s="1"/>
  <c r="S25" i="4"/>
  <c r="P25" i="4"/>
  <c r="O25" i="4"/>
  <c r="T25" i="4" s="1"/>
  <c r="S24" i="4"/>
  <c r="P24" i="4"/>
  <c r="O24" i="4"/>
  <c r="T24" i="4" s="1"/>
  <c r="S23" i="4"/>
  <c r="P23" i="4"/>
  <c r="O23" i="4"/>
  <c r="T23" i="4" s="1"/>
  <c r="S22" i="4"/>
  <c r="P22" i="4"/>
  <c r="O22" i="4"/>
  <c r="T22" i="4" s="1"/>
  <c r="S21" i="4"/>
  <c r="P21" i="4"/>
  <c r="O21" i="4"/>
  <c r="T21" i="4" s="1"/>
  <c r="S20" i="4"/>
  <c r="P20" i="4"/>
  <c r="O20" i="4"/>
  <c r="T20" i="4" s="1"/>
  <c r="Z26" i="4" l="1"/>
  <c r="W26" i="4" s="1"/>
  <c r="AB16" i="9"/>
  <c r="AC16" i="9" s="1"/>
  <c r="AB17" i="9"/>
  <c r="AA17" i="9"/>
  <c r="AC18" i="9"/>
  <c r="AA6" i="9"/>
  <c r="Y6" i="9"/>
  <c r="Y4" i="9"/>
  <c r="X6" i="9"/>
  <c r="X4" i="9"/>
  <c r="Y5" i="9"/>
  <c r="X5" i="9"/>
  <c r="Z17" i="9"/>
  <c r="Z18" i="9"/>
  <c r="Y16" i="9"/>
  <c r="Z16" i="9"/>
  <c r="Y18" i="9"/>
  <c r="Y17" i="9"/>
  <c r="X18" i="9"/>
  <c r="X17" i="9"/>
  <c r="X16" i="9"/>
  <c r="Y11" i="9"/>
  <c r="X11" i="9"/>
  <c r="X12" i="9"/>
  <c r="Z12" i="9"/>
  <c r="Y12" i="9"/>
  <c r="Z10" i="9"/>
  <c r="Y10" i="9"/>
  <c r="X10" i="9"/>
  <c r="Z11" i="9"/>
  <c r="Z5" i="9"/>
  <c r="AB10" i="9"/>
  <c r="AA4" i="9"/>
  <c r="AA5" i="9"/>
  <c r="AA11" i="9"/>
  <c r="AB4" i="9"/>
  <c r="AB6" i="9"/>
  <c r="Z4" i="9"/>
  <c r="Z6" i="9"/>
  <c r="AA12" i="9"/>
  <c r="AB5" i="9"/>
  <c r="AA10" i="9"/>
  <c r="AB11" i="9"/>
  <c r="AB12" i="9"/>
  <c r="K5" i="6"/>
  <c r="H5" i="6"/>
  <c r="AB21" i="4"/>
  <c r="G5" i="6"/>
  <c r="F6" i="6"/>
  <c r="G4" i="6"/>
  <c r="AB19" i="4"/>
  <c r="AA19" i="4"/>
  <c r="AA20" i="4"/>
  <c r="K4" i="6"/>
  <c r="F6" i="1"/>
  <c r="G6" i="1"/>
  <c r="F7" i="6"/>
  <c r="H8" i="6"/>
  <c r="H4" i="6"/>
  <c r="G7" i="6"/>
  <c r="H9" i="6"/>
  <c r="H6" i="6"/>
  <c r="AB20" i="4"/>
  <c r="AA21" i="4"/>
  <c r="T36" i="4"/>
  <c r="G5" i="1" s="1"/>
  <c r="H7" i="6"/>
  <c r="F4" i="6"/>
  <c r="G6" i="6"/>
  <c r="F8" i="6"/>
  <c r="G8" i="6"/>
  <c r="F5" i="6"/>
  <c r="F9" i="6"/>
  <c r="G9" i="6"/>
  <c r="K8" i="6"/>
  <c r="K9" i="6"/>
  <c r="K7" i="6"/>
  <c r="K6" i="6"/>
  <c r="P9" i="6"/>
  <c r="P8" i="6"/>
  <c r="Q6" i="6"/>
  <c r="P11" i="6"/>
  <c r="P7" i="6"/>
  <c r="P4" i="6"/>
  <c r="P6" i="6"/>
  <c r="P5" i="6"/>
  <c r="Q10" i="6"/>
  <c r="Q8" i="6"/>
  <c r="P10" i="6"/>
  <c r="R9" i="6"/>
  <c r="Q9" i="6"/>
  <c r="R6" i="6"/>
  <c r="R8" i="6"/>
  <c r="R7" i="6"/>
  <c r="Q7" i="6"/>
  <c r="R5" i="6"/>
  <c r="Q5" i="6"/>
  <c r="R4" i="6"/>
  <c r="Q4" i="6"/>
  <c r="R11" i="6"/>
  <c r="Q11" i="6"/>
  <c r="R10" i="6"/>
  <c r="U8" i="6"/>
  <c r="U7" i="6"/>
  <c r="U5" i="6"/>
  <c r="U4" i="6"/>
  <c r="U11" i="6"/>
  <c r="U10" i="6"/>
  <c r="U6" i="6"/>
  <c r="U9" i="6"/>
  <c r="AB24" i="4"/>
  <c r="AA24" i="4"/>
  <c r="AB13" i="4"/>
  <c r="AA13" i="4"/>
  <c r="AB12" i="4"/>
  <c r="AA12" i="4"/>
  <c r="AB26" i="4"/>
  <c r="AA25" i="4"/>
  <c r="AB25" i="4"/>
  <c r="AB15" i="4"/>
  <c r="AA15" i="4"/>
  <c r="AB14" i="4"/>
  <c r="AA14" i="4"/>
  <c r="AB7" i="4"/>
  <c r="AA8" i="4"/>
  <c r="AB8" i="4"/>
  <c r="AA5" i="4"/>
  <c r="AB5" i="4"/>
  <c r="AA6" i="4"/>
  <c r="AB6" i="4"/>
  <c r="AA7" i="4"/>
  <c r="X24" i="4"/>
  <c r="Y24" i="4"/>
  <c r="Z24" i="4"/>
  <c r="X25" i="4"/>
  <c r="Y25" i="4"/>
  <c r="Z25" i="4"/>
  <c r="Z12" i="4"/>
  <c r="X14" i="4"/>
  <c r="X15" i="4"/>
  <c r="Y13" i="4"/>
  <c r="Z13" i="4"/>
  <c r="X13" i="4"/>
  <c r="Y14" i="4"/>
  <c r="X12" i="4"/>
  <c r="Z15" i="4"/>
  <c r="Y15" i="4"/>
  <c r="Y12" i="4"/>
  <c r="Z14" i="4"/>
  <c r="Y6" i="4"/>
  <c r="X5" i="4"/>
  <c r="Z7" i="4"/>
  <c r="X8" i="4"/>
  <c r="Y8" i="4"/>
  <c r="Y5" i="4"/>
  <c r="Y7" i="4"/>
  <c r="Z5" i="4"/>
  <c r="X7" i="4"/>
  <c r="Z6" i="4"/>
  <c r="X6" i="4"/>
  <c r="Z8" i="4"/>
  <c r="AC17" i="9" l="1"/>
  <c r="AC11" i="9"/>
  <c r="AC6" i="9"/>
  <c r="AC4" i="9"/>
  <c r="AC5" i="9"/>
  <c r="AD11" i="9"/>
  <c r="W11" i="9"/>
  <c r="AD5" i="9"/>
  <c r="W5" i="9"/>
  <c r="AC10" i="9"/>
  <c r="AD4" i="9"/>
  <c r="W4" i="9"/>
  <c r="AD16" i="9"/>
  <c r="W16" i="9"/>
  <c r="AC12" i="9"/>
  <c r="AD17" i="9"/>
  <c r="W17" i="9"/>
  <c r="AD6" i="9"/>
  <c r="W6" i="9"/>
  <c r="AD10" i="9"/>
  <c r="W10" i="9"/>
  <c r="AD18" i="9"/>
  <c r="W18" i="9"/>
  <c r="AD12" i="9"/>
  <c r="W12" i="9"/>
  <c r="AC19" i="4"/>
  <c r="AC21" i="4"/>
  <c r="Y20" i="4"/>
  <c r="Y21" i="4"/>
  <c r="Z19" i="4"/>
  <c r="X21" i="4"/>
  <c r="Y19" i="4"/>
  <c r="X19" i="4"/>
  <c r="Z20" i="4"/>
  <c r="X20" i="4"/>
  <c r="Z21" i="4"/>
  <c r="E4" i="6"/>
  <c r="AC20" i="4"/>
  <c r="D7" i="6"/>
  <c r="E7" i="6"/>
  <c r="D8" i="6"/>
  <c r="E6" i="6"/>
  <c r="D6" i="6"/>
  <c r="E8" i="6"/>
  <c r="E9" i="6"/>
  <c r="E5" i="6"/>
  <c r="D9" i="6"/>
  <c r="D5" i="6"/>
  <c r="D4" i="6"/>
  <c r="O10" i="6"/>
  <c r="N10" i="6"/>
  <c r="O4" i="6"/>
  <c r="N4" i="6"/>
  <c r="O11" i="6"/>
  <c r="N11" i="6"/>
  <c r="O5" i="6"/>
  <c r="N5" i="6"/>
  <c r="O8" i="6"/>
  <c r="N8" i="6"/>
  <c r="O7" i="6"/>
  <c r="N7" i="6"/>
  <c r="O6" i="6"/>
  <c r="N6" i="6"/>
  <c r="O9" i="6"/>
  <c r="N9" i="6"/>
  <c r="AC24" i="4"/>
  <c r="AC12" i="4"/>
  <c r="AC26" i="4"/>
  <c r="AC13" i="4"/>
  <c r="AC7" i="4"/>
  <c r="AC14" i="4"/>
  <c r="AC25" i="4"/>
  <c r="AC8" i="4"/>
  <c r="AC15" i="4"/>
  <c r="AC5" i="4"/>
  <c r="AC6" i="4"/>
  <c r="AD24" i="4"/>
  <c r="W24" i="4"/>
  <c r="AD25" i="4"/>
  <c r="W25" i="4"/>
  <c r="AD26" i="4"/>
  <c r="AD14" i="4"/>
  <c r="W14" i="4"/>
  <c r="AD15" i="4"/>
  <c r="W15" i="4"/>
  <c r="W13" i="4"/>
  <c r="AD13" i="4"/>
  <c r="AD12" i="4"/>
  <c r="W12" i="4"/>
  <c r="W5" i="4"/>
  <c r="AD5" i="4"/>
  <c r="AD8" i="4"/>
  <c r="W8" i="4"/>
  <c r="W7" i="4"/>
  <c r="AD7" i="4"/>
  <c r="AD6" i="4"/>
  <c r="W6" i="4"/>
  <c r="E15" i="9" l="1" a="1"/>
  <c r="E15" i="9" s="1"/>
  <c r="E10" i="9" a="1"/>
  <c r="E10" i="9" s="1"/>
  <c r="E5" i="9" a="1"/>
  <c r="E5" i="9" s="1"/>
  <c r="W20" i="4"/>
  <c r="W19" i="4"/>
  <c r="W21" i="4"/>
  <c r="AD21" i="4"/>
  <c r="AD19" i="4"/>
  <c r="AD20" i="4"/>
  <c r="C3" i="7" a="1"/>
  <c r="E5" i="4" a="1"/>
  <c r="E5" i="4" s="1"/>
  <c r="C3" i="3" a="1"/>
  <c r="E22" i="4" a="1"/>
  <c r="E11" i="4" a="1"/>
  <c r="E17" i="4" l="1" a="1"/>
  <c r="E17" i="4" s="1"/>
  <c r="N10" i="3"/>
  <c r="N9" i="3"/>
  <c r="N8" i="3"/>
  <c r="N7" i="3"/>
  <c r="N6" i="3"/>
  <c r="N5" i="3"/>
  <c r="N4" i="3"/>
  <c r="N3" i="3"/>
  <c r="N3" i="7"/>
  <c r="N8" i="7"/>
  <c r="N7" i="7"/>
  <c r="N6" i="7"/>
  <c r="N5" i="7"/>
  <c r="N4" i="7"/>
  <c r="C3" i="7"/>
  <c r="M10" i="3"/>
  <c r="M9" i="3"/>
  <c r="M8" i="3"/>
  <c r="M7" i="3"/>
  <c r="M6" i="3"/>
  <c r="M5" i="3"/>
  <c r="M4" i="3"/>
  <c r="M3" i="3"/>
  <c r="M8" i="7"/>
  <c r="M7" i="7"/>
  <c r="M3" i="7"/>
  <c r="M4" i="7"/>
  <c r="M5" i="7"/>
  <c r="M6" i="7"/>
  <c r="C3" i="3"/>
  <c r="E22" i="4"/>
  <c r="E1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<sst xmlns="http://schemas.openxmlformats.org/spreadsheetml/2006/main" count="732" uniqueCount="100">
  <si>
    <t>☆ 챔피언스 리그 ☆</t>
  </si>
  <si>
    <t>무</t>
  </si>
  <si>
    <t>무</t>
    <phoneticPr fontId="8" type="noConversion"/>
  </si>
  <si>
    <t>승</t>
  </si>
  <si>
    <t>승</t>
    <phoneticPr fontId="8" type="noConversion"/>
  </si>
  <si>
    <t>팀명</t>
    <phoneticPr fontId="8" type="noConversion"/>
  </si>
  <si>
    <t>☆ FA컵 ☆</t>
    <phoneticPr fontId="8" type="noConversion"/>
  </si>
  <si>
    <t>1경기</t>
    <phoneticPr fontId="8" type="noConversion"/>
  </si>
  <si>
    <t>2경기</t>
    <phoneticPr fontId="8" type="noConversion"/>
  </si>
  <si>
    <t>패</t>
  </si>
  <si>
    <t>패</t>
    <phoneticPr fontId="8" type="noConversion"/>
  </si>
  <si>
    <t>인테르</t>
  </si>
  <si>
    <t>뮌헨</t>
  </si>
  <si>
    <t>PSV</t>
  </si>
  <si>
    <t>인테르</t>
    <phoneticPr fontId="8" type="noConversion"/>
  </si>
  <si>
    <t>팀1 결과</t>
    <phoneticPr fontId="8" type="noConversion"/>
  </si>
  <si>
    <t>팀1</t>
    <phoneticPr fontId="8" type="noConversion"/>
  </si>
  <si>
    <t>팀1 S</t>
    <phoneticPr fontId="8" type="noConversion"/>
  </si>
  <si>
    <t>팀2 S</t>
    <phoneticPr fontId="8" type="noConversion"/>
  </si>
  <si>
    <t>팀2</t>
    <phoneticPr fontId="8" type="noConversion"/>
  </si>
  <si>
    <t>팀2 결과</t>
    <phoneticPr fontId="8" type="noConversion"/>
  </si>
  <si>
    <t>득점</t>
  </si>
  <si>
    <t>득점</t>
    <phoneticPr fontId="8" type="noConversion"/>
  </si>
  <si>
    <t>실점</t>
  </si>
  <si>
    <t>실점</t>
    <phoneticPr fontId="8" type="noConversion"/>
  </si>
  <si>
    <t>득실</t>
  </si>
  <si>
    <t>득실</t>
    <phoneticPr fontId="8" type="noConversion"/>
  </si>
  <si>
    <t>승점점수</t>
  </si>
  <si>
    <t>경기</t>
  </si>
  <si>
    <t>경기</t>
    <phoneticPr fontId="8" type="noConversion"/>
  </si>
  <si>
    <t>팀</t>
  </si>
  <si>
    <t>순위</t>
    <phoneticPr fontId="8" type="noConversion"/>
  </si>
  <si>
    <t>승 점</t>
    <phoneticPr fontId="8" type="noConversion"/>
  </si>
  <si>
    <t>토트넘</t>
    <phoneticPr fontId="8" type="noConversion"/>
  </si>
  <si>
    <t>첼시</t>
    <phoneticPr fontId="8" type="noConversion"/>
  </si>
  <si>
    <t>뮌헨</t>
    <phoneticPr fontId="8" type="noConversion"/>
  </si>
  <si>
    <t>레버쿠젠</t>
    <phoneticPr fontId="8" type="noConversion"/>
  </si>
  <si>
    <t>PSV</t>
    <phoneticPr fontId="8" type="noConversion"/>
  </si>
  <si>
    <t>ATM</t>
    <phoneticPr fontId="8" type="noConversion"/>
  </si>
  <si>
    <t>뉴캐슬</t>
    <phoneticPr fontId="8" type="noConversion"/>
  </si>
  <si>
    <t>맨유</t>
    <phoneticPr fontId="8" type="noConversion"/>
  </si>
  <si>
    <t>R</t>
    <phoneticPr fontId="8" type="noConversion"/>
  </si>
  <si>
    <r>
      <rPr>
        <sz val="10"/>
        <color theme="1"/>
        <rFont val="맑은 고딕"/>
        <family val="2"/>
        <charset val="129"/>
      </rPr>
      <t>경기당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승점</t>
    </r>
    <phoneticPr fontId="8" type="noConversion"/>
  </si>
  <si>
    <t>뉴캐슬</t>
  </si>
  <si>
    <t>맨유</t>
  </si>
  <si>
    <t>최대 승점</t>
    <phoneticPr fontId="8" type="noConversion"/>
  </si>
  <si>
    <t>결과</t>
    <phoneticPr fontId="8" type="noConversion"/>
  </si>
  <si>
    <t>NO</t>
    <phoneticPr fontId="8" type="noConversion"/>
  </si>
  <si>
    <t>팀</t>
    <phoneticPr fontId="8" type="noConversion"/>
  </si>
  <si>
    <t>상대팀</t>
    <phoneticPr fontId="8" type="noConversion"/>
  </si>
  <si>
    <t>비야레알</t>
  </si>
  <si>
    <t>아우크스부르크</t>
    <phoneticPr fontId="8" type="noConversion"/>
  </si>
  <si>
    <t>도르트문트</t>
    <phoneticPr fontId="8" type="noConversion"/>
  </si>
  <si>
    <t>유벤투스</t>
  </si>
  <si>
    <t>비야레알</t>
    <phoneticPr fontId="8" type="noConversion"/>
  </si>
  <si>
    <t>FA컵</t>
    <phoneticPr fontId="8" type="noConversion"/>
  </si>
  <si>
    <t>☆ 1부리그 ☆</t>
    <phoneticPr fontId="8" type="noConversion"/>
  </si>
  <si>
    <t>C조</t>
    <phoneticPr fontId="8" type="noConversion"/>
  </si>
  <si>
    <t xml:space="preserve">[결승] </t>
    <phoneticPr fontId="8" type="noConversion"/>
  </si>
  <si>
    <t xml:space="preserve">[4강] </t>
    <phoneticPr fontId="8" type="noConversion"/>
  </si>
  <si>
    <t xml:space="preserve">[8강] </t>
    <phoneticPr fontId="8" type="noConversion"/>
  </si>
  <si>
    <t>-</t>
    <phoneticPr fontId="8" type="noConversion"/>
  </si>
  <si>
    <t>A</t>
    <phoneticPr fontId="8" type="noConversion"/>
  </si>
  <si>
    <t>B</t>
    <phoneticPr fontId="8" type="noConversion"/>
  </si>
  <si>
    <t>C</t>
    <phoneticPr fontId="8" type="noConversion"/>
  </si>
  <si>
    <t>D</t>
    <phoneticPr fontId="8" type="noConversion"/>
  </si>
  <si>
    <t>챔피언스리그 GROUP STAGE</t>
    <phoneticPr fontId="8" type="noConversion"/>
  </si>
  <si>
    <t>1경기</t>
  </si>
  <si>
    <t>도르트문트</t>
  </si>
  <si>
    <t>[14강] 레알 마드리드</t>
  </si>
  <si>
    <t>레알 마드리드</t>
  </si>
  <si>
    <t>루마니아</t>
  </si>
  <si>
    <t>루마니아</t>
    <phoneticPr fontId="8" type="noConversion"/>
  </si>
  <si>
    <t>이탈리아</t>
  </si>
  <si>
    <t>이탈리아</t>
    <phoneticPr fontId="8" type="noConversion"/>
  </si>
  <si>
    <t>포르투갈</t>
  </si>
  <si>
    <t>포르투갈</t>
    <phoneticPr fontId="8" type="noConversion"/>
  </si>
  <si>
    <t>독일</t>
  </si>
  <si>
    <t>독일</t>
    <phoneticPr fontId="8" type="noConversion"/>
  </si>
  <si>
    <t>오스트리아</t>
  </si>
  <si>
    <t>오스트리아</t>
    <phoneticPr fontId="8" type="noConversion"/>
  </si>
  <si>
    <t>프랑스</t>
  </si>
  <si>
    <t>프랑스</t>
    <phoneticPr fontId="8" type="noConversion"/>
  </si>
  <si>
    <t>스페인</t>
  </si>
  <si>
    <t>스페인</t>
    <phoneticPr fontId="8" type="noConversion"/>
  </si>
  <si>
    <t>잉글랜드</t>
  </si>
  <si>
    <t>잉글랜드</t>
    <phoneticPr fontId="8" type="noConversion"/>
  </si>
  <si>
    <t>크로아티아</t>
  </si>
  <si>
    <t>크로아티아</t>
    <phoneticPr fontId="8" type="noConversion"/>
  </si>
  <si>
    <t>브라질</t>
  </si>
  <si>
    <t>브라질</t>
    <phoneticPr fontId="8" type="noConversion"/>
  </si>
  <si>
    <t>대한민국</t>
  </si>
  <si>
    <t>대한민국</t>
    <phoneticPr fontId="8" type="noConversion"/>
  </si>
  <si>
    <t>아르헨티나</t>
  </si>
  <si>
    <t>아르헨티나</t>
    <phoneticPr fontId="8" type="noConversion"/>
  </si>
  <si>
    <t>미국</t>
  </si>
  <si>
    <t>미국</t>
    <phoneticPr fontId="8" type="noConversion"/>
  </si>
  <si>
    <t>코트디부아르</t>
  </si>
  <si>
    <t>코트디부아르</t>
    <phoneticPr fontId="8" type="noConversion"/>
  </si>
  <si>
    <t>월드컵 GROUP STAGE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</si>
</sst>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b/>
      <sz val="16"/>
      <color theme="1"/>
      <name val="맑은 고딕"/>
      <family val="2"/>
      <charset val="129"/>
      <scheme val="minor"/>
    </font>
    <font>
      <b/>
      <sz val="16"/>
      <color theme="1"/>
      <name val="맑은 고딕"/>
      <family val="2"/>
      <scheme val="minor"/>
    </font>
    <font>
      <sz val="10"/>
      <color theme="1"/>
      <name val="Arial"/>
      <family val="2"/>
    </font>
    <font>
      <sz val="11"/>
      <color rgb="FF333333"/>
      <name val="Arial"/>
      <family val="2"/>
    </font>
    <font>
      <sz val="10"/>
      <color theme="1"/>
      <name val="Noto Sans KR"/>
      <family val="2"/>
      <charset val="129"/>
    </font>
    <font>
      <b/>
      <sz val="11"/>
      <color rgb="FFE52D38"/>
      <name val="Arial"/>
      <family val="2"/>
    </font>
    <font>
      <b/>
      <sz val="11"/>
      <color rgb="FF333333"/>
      <name val="Noto Sans KR"/>
      <family val="2"/>
      <charset val="129"/>
    </font>
    <font>
      <sz val="10"/>
      <color theme="1"/>
      <name val="맑은 고딕"/>
      <family val="2"/>
      <charset val="129"/>
    </font>
    <font>
      <b/>
      <sz val="10"/>
      <color theme="1"/>
      <name val="Noto Sans KR"/>
      <family val="2"/>
      <charset val="129"/>
    </font>
    <font>
      <b/>
      <sz val="10"/>
      <color theme="1"/>
      <name val="Arial"/>
      <family val="2"/>
    </font>
    <font>
      <sz val="11"/>
      <name val="Arial"/>
      <family val="2"/>
    </font>
    <font>
      <b/>
      <sz val="14"/>
      <color theme="1"/>
      <name val="맑은 고딕"/>
      <family val="2"/>
      <scheme val="minor"/>
    </font>
    <font>
      <b/>
      <sz val="16"/>
      <color theme="0"/>
      <name val="맑은 고딕"/>
      <family val="2"/>
      <scheme val="minor"/>
    </font>
    <font>
      <b/>
      <sz val="20"/>
      <color theme="1"/>
      <name val="맑은 고딕"/>
      <family val="2"/>
      <scheme val="minor"/>
    </font>
    <font>
      <b/>
      <sz val="11"/>
      <color rgb="FFC0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</fills>
  <borders count="11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indexed="64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auto="1"/>
      </bottom>
      <diagonal/>
    </border>
    <border>
      <left/>
      <right style="thin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499984740745262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 style="thin">
        <color theme="0" tint="-0.49998474074526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499984740745262"/>
      </left>
      <right/>
      <top style="medium">
        <color theme="0" tint="-0.14996795556505021"/>
      </top>
      <bottom style="medium">
        <color theme="0" tint="-0.499984740745262"/>
      </bottom>
      <diagonal/>
    </border>
    <border>
      <left/>
      <right/>
      <top style="medium">
        <color theme="0" tint="-0.14996795556505021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14996795556505021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14996795556505021"/>
      </top>
      <bottom style="medium">
        <color theme="0" tint="-0.499984740745262"/>
      </bottom>
      <diagonal/>
    </border>
    <border>
      <left style="thin">
        <color theme="0" tint="-0.499984740745262"/>
      </left>
      <right/>
      <top/>
      <bottom style="medium">
        <color theme="0" tint="-0.14996795556505021"/>
      </bottom>
      <diagonal/>
    </border>
    <border>
      <left/>
      <right/>
      <top/>
      <bottom style="medium">
        <color theme="0" tint="-0.1499679555650502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14996795556505021"/>
      </bottom>
      <diagonal/>
    </border>
    <border>
      <left/>
      <right style="thin">
        <color theme="0" tint="-0.499984740745262"/>
      </right>
      <top/>
      <bottom style="medium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14996795556505021"/>
      </bottom>
      <diagonal/>
    </border>
    <border>
      <left/>
      <right style="medium">
        <color theme="0" tint="-0.499984740745262"/>
      </right>
      <top style="medium">
        <color theme="0" tint="-0.14996795556505021"/>
      </top>
      <bottom style="medium">
        <color theme="0" tint="-0.14996795556505021"/>
      </bottom>
      <diagonal/>
    </border>
    <border>
      <left/>
      <right style="medium">
        <color theme="0" tint="-0.499984740745262"/>
      </right>
      <top style="medium">
        <color theme="0" tint="-0.14996795556505021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0" tint="-0.14996795556505021"/>
      </bottom>
      <diagonal/>
    </border>
    <border>
      <left style="medium">
        <color theme="0" tint="-0.499984740745262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499984740745262"/>
      </left>
      <right/>
      <top style="medium">
        <color theme="0" tint="-0.14996795556505021"/>
      </top>
      <bottom style="medium">
        <color theme="0" tint="-0.49998474074526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auto="1"/>
      </right>
      <top style="hair">
        <color auto="1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/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 style="medium">
        <color indexed="64"/>
      </left>
      <right/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auto="1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indexed="64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/>
      <bottom style="medium">
        <color theme="0" tint="-0.14996795556505021"/>
      </bottom>
      <diagonal/>
    </border>
    <border>
      <left style="thin">
        <color theme="0" tint="-0.499984740745262"/>
      </left>
      <right style="thin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499984740745262"/>
      </left>
      <right style="thin">
        <color indexed="64"/>
      </right>
      <top style="medium">
        <color theme="0" tint="-0.14996795556505021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/>
      <top style="hair">
        <color auto="1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 indent="1"/>
    </xf>
    <xf numFmtId="0" fontId="7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1" fillId="0" borderId="0" xfId="0" applyFont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 wrapText="1"/>
    </xf>
    <xf numFmtId="0" fontId="15" fillId="2" borderId="37" xfId="0" applyFont="1" applyFill="1" applyBorder="1" applyAlignment="1">
      <alignment horizontal="center" vertical="center" wrapText="1"/>
    </xf>
    <xf numFmtId="0" fontId="15" fillId="2" borderId="39" xfId="0" applyFont="1" applyFill="1" applyBorder="1" applyAlignment="1">
      <alignment horizontal="center" vertical="center" wrapText="1"/>
    </xf>
    <xf numFmtId="0" fontId="15" fillId="2" borderId="38" xfId="0" applyFont="1" applyFill="1" applyBorder="1" applyAlignment="1">
      <alignment horizontal="center" vertical="center" wrapText="1"/>
    </xf>
    <xf numFmtId="0" fontId="15" fillId="2" borderId="40" xfId="0" applyFont="1" applyFill="1" applyBorder="1" applyAlignment="1">
      <alignment horizontal="center" vertical="center" wrapText="1"/>
    </xf>
    <xf numFmtId="0" fontId="15" fillId="0" borderId="42" xfId="0" applyFont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0" fontId="16" fillId="3" borderId="33" xfId="0" applyFont="1" applyFill="1" applyBorder="1" applyAlignment="1">
      <alignment horizontal="center" vertical="center" wrapText="1"/>
    </xf>
    <xf numFmtId="0" fontId="14" fillId="3" borderId="34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14" fillId="3" borderId="35" xfId="0" applyFont="1" applyFill="1" applyBorder="1" applyAlignment="1">
      <alignment horizontal="center" vertical="center" wrapText="1"/>
    </xf>
    <xf numFmtId="0" fontId="14" fillId="3" borderId="36" xfId="0" applyFont="1" applyFill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17" fillId="2" borderId="40" xfId="0" applyFont="1" applyFill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left" vertical="center" wrapText="1" indent="1"/>
    </xf>
    <xf numFmtId="0" fontId="18" fillId="2" borderId="39" xfId="0" applyFont="1" applyFill="1" applyBorder="1" applyAlignment="1">
      <alignment horizontal="left" vertical="center" wrapText="1" indent="1"/>
    </xf>
    <xf numFmtId="0" fontId="18" fillId="0" borderId="39" xfId="0" applyFont="1" applyBorder="1" applyAlignment="1">
      <alignment horizontal="left" vertical="center" wrapText="1" indent="1"/>
    </xf>
    <xf numFmtId="0" fontId="18" fillId="2" borderId="42" xfId="0" applyFont="1" applyFill="1" applyBorder="1" applyAlignment="1">
      <alignment horizontal="left" vertical="center" wrapText="1" indent="1"/>
    </xf>
    <xf numFmtId="0" fontId="15" fillId="2" borderId="43" xfId="0" applyFont="1" applyFill="1" applyBorder="1" applyAlignment="1">
      <alignment horizontal="center" vertical="center" wrapText="1"/>
    </xf>
    <xf numFmtId="0" fontId="15" fillId="2" borderId="42" xfId="0" applyFont="1" applyFill="1" applyBorder="1" applyAlignment="1">
      <alignment horizontal="center" vertical="center" wrapText="1"/>
    </xf>
    <xf numFmtId="0" fontId="15" fillId="2" borderId="41" xfId="0" applyFont="1" applyFill="1" applyBorder="1" applyAlignment="1">
      <alignment horizontal="center" vertical="center" wrapText="1"/>
    </xf>
    <xf numFmtId="0" fontId="15" fillId="2" borderId="44" xfId="0" applyFont="1" applyFill="1" applyBorder="1" applyAlignment="1">
      <alignment horizontal="center" vertical="center" wrapText="1"/>
    </xf>
    <xf numFmtId="0" fontId="17" fillId="2" borderId="44" xfId="0" applyFont="1" applyFill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17" fillId="2" borderId="54" xfId="0" applyFont="1" applyFill="1" applyBorder="1" applyAlignment="1">
      <alignment horizontal="center" vertical="center" wrapText="1"/>
    </xf>
    <xf numFmtId="0" fontId="17" fillId="0" borderId="54" xfId="0" applyFont="1" applyBorder="1" applyAlignment="1">
      <alignment horizontal="center" vertical="center" wrapText="1"/>
    </xf>
    <xf numFmtId="0" fontId="7" fillId="0" borderId="57" xfId="0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 wrapText="1"/>
    </xf>
    <xf numFmtId="0" fontId="18" fillId="2" borderId="58" xfId="0" applyFont="1" applyFill="1" applyBorder="1" applyAlignment="1">
      <alignment horizontal="center" vertical="center" wrapText="1"/>
    </xf>
    <xf numFmtId="0" fontId="15" fillId="2" borderId="54" xfId="0" applyFont="1" applyFill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 wrapText="1"/>
    </xf>
    <xf numFmtId="176" fontId="15" fillId="0" borderId="46" xfId="0" applyNumberFormat="1" applyFont="1" applyBorder="1" applyAlignment="1">
      <alignment horizontal="center" vertical="center" wrapText="1"/>
    </xf>
    <xf numFmtId="176" fontId="15" fillId="2" borderId="39" xfId="0" applyNumberFormat="1" applyFont="1" applyFill="1" applyBorder="1" applyAlignment="1">
      <alignment horizontal="center" vertical="center" wrapText="1"/>
    </xf>
    <xf numFmtId="176" fontId="15" fillId="0" borderId="39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 indent="1"/>
    </xf>
    <xf numFmtId="0" fontId="4" fillId="0" borderId="6" xfId="0" applyFont="1" applyBorder="1" applyAlignment="1">
      <alignment horizontal="center" vertical="center"/>
    </xf>
    <xf numFmtId="0" fontId="18" fillId="2" borderId="59" xfId="0" applyFont="1" applyFill="1" applyBorder="1" applyAlignment="1">
      <alignment horizontal="center" vertical="center" wrapText="1"/>
    </xf>
    <xf numFmtId="0" fontId="17" fillId="2" borderId="55" xfId="0" applyFont="1" applyFill="1" applyBorder="1" applyAlignment="1">
      <alignment horizontal="center" vertical="center" wrapText="1"/>
    </xf>
    <xf numFmtId="0" fontId="15" fillId="2" borderId="55" xfId="0" applyFont="1" applyFill="1" applyBorder="1" applyAlignment="1">
      <alignment horizontal="center" vertical="center" wrapText="1"/>
    </xf>
    <xf numFmtId="0" fontId="20" fillId="3" borderId="56" xfId="0" applyFont="1" applyFill="1" applyBorder="1" applyAlignment="1">
      <alignment horizontal="center" vertical="center" wrapText="1"/>
    </xf>
    <xf numFmtId="0" fontId="21" fillId="3" borderId="52" xfId="0" applyFont="1" applyFill="1" applyBorder="1" applyAlignment="1">
      <alignment horizontal="center" vertical="center" wrapText="1"/>
    </xf>
    <xf numFmtId="0" fontId="21" fillId="3" borderId="36" xfId="0" applyFont="1" applyFill="1" applyBorder="1" applyAlignment="1">
      <alignment horizontal="center" vertical="center" wrapText="1"/>
    </xf>
    <xf numFmtId="0" fontId="21" fillId="3" borderId="33" xfId="0" applyFont="1" applyFill="1" applyBorder="1" applyAlignment="1">
      <alignment horizontal="center" vertical="center" wrapText="1"/>
    </xf>
    <xf numFmtId="0" fontId="21" fillId="3" borderId="35" xfId="0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1" fontId="15" fillId="0" borderId="4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0" fillId="3" borderId="33" xfId="0" applyFont="1" applyFill="1" applyBorder="1" applyAlignment="1">
      <alignment horizontal="center" vertical="center" wrapText="1"/>
    </xf>
    <xf numFmtId="0" fontId="18" fillId="2" borderId="39" xfId="0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1" fontId="22" fillId="2" borderId="39" xfId="0" applyNumberFormat="1" applyFont="1" applyFill="1" applyBorder="1" applyAlignment="1">
      <alignment horizontal="center" vertical="center" wrapText="1"/>
    </xf>
    <xf numFmtId="1" fontId="22" fillId="0" borderId="39" xfId="0" applyNumberFormat="1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2" borderId="42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4" borderId="70" xfId="0" applyFont="1" applyFill="1" applyBorder="1" applyAlignment="1">
      <alignment horizontal="center" vertical="center"/>
    </xf>
    <xf numFmtId="0" fontId="9" fillId="4" borderId="65" xfId="0" applyFont="1" applyFill="1" applyBorder="1" applyAlignment="1">
      <alignment horizontal="center" vertical="center"/>
    </xf>
    <xf numFmtId="0" fontId="9" fillId="6" borderId="63" xfId="0" applyFont="1" applyFill="1" applyBorder="1" applyAlignment="1">
      <alignment horizontal="center" vertical="center"/>
    </xf>
    <xf numFmtId="0" fontId="9" fillId="6" borderId="71" xfId="0" applyFont="1" applyFill="1" applyBorder="1" applyAlignment="1">
      <alignment horizontal="center" vertical="center"/>
    </xf>
    <xf numFmtId="0" fontId="9" fillId="6" borderId="70" xfId="0" applyFont="1" applyFill="1" applyBorder="1" applyAlignment="1">
      <alignment horizontal="center" vertical="center"/>
    </xf>
    <xf numFmtId="0" fontId="9" fillId="6" borderId="66" xfId="0" applyFont="1" applyFill="1" applyBorder="1" applyAlignment="1">
      <alignment horizontal="center" vertical="center"/>
    </xf>
    <xf numFmtId="0" fontId="9" fillId="9" borderId="70" xfId="0" applyFont="1" applyFill="1" applyBorder="1" applyAlignment="1">
      <alignment horizontal="center" vertical="center"/>
    </xf>
    <xf numFmtId="0" fontId="9" fillId="9" borderId="65" xfId="0" applyFont="1" applyFill="1" applyBorder="1" applyAlignment="1">
      <alignment horizontal="center" vertical="center"/>
    </xf>
    <xf numFmtId="0" fontId="9" fillId="11" borderId="63" xfId="0" applyFont="1" applyFill="1" applyBorder="1" applyAlignment="1">
      <alignment horizontal="center" vertical="center"/>
    </xf>
    <xf numFmtId="0" fontId="9" fillId="11" borderId="71" xfId="0" applyFont="1" applyFill="1" applyBorder="1" applyAlignment="1">
      <alignment horizontal="center" vertical="center"/>
    </xf>
    <xf numFmtId="0" fontId="9" fillId="11" borderId="70" xfId="0" applyFont="1" applyFill="1" applyBorder="1" applyAlignment="1">
      <alignment horizontal="center" vertical="center"/>
    </xf>
    <xf numFmtId="0" fontId="9" fillId="11" borderId="6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73" xfId="0" applyBorder="1" applyAlignment="1">
      <alignment horizontal="left" vertical="center" indent="1"/>
    </xf>
    <xf numFmtId="0" fontId="5" fillId="0" borderId="74" xfId="0" applyFont="1" applyBorder="1" applyAlignment="1">
      <alignment horizontal="center" vertical="center"/>
    </xf>
    <xf numFmtId="0" fontId="0" fillId="0" borderId="75" xfId="0" applyBorder="1" applyAlignment="1">
      <alignment horizontal="left" vertical="center" indent="1"/>
    </xf>
    <xf numFmtId="0" fontId="5" fillId="0" borderId="22" xfId="0" applyFont="1" applyBorder="1" applyAlignment="1">
      <alignment horizontal="center" vertical="center"/>
    </xf>
    <xf numFmtId="0" fontId="0" fillId="0" borderId="76" xfId="0" applyBorder="1" applyAlignment="1">
      <alignment horizontal="left" vertical="center" indent="1"/>
    </xf>
    <xf numFmtId="0" fontId="0" fillId="0" borderId="77" xfId="0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 indent="1"/>
    </xf>
    <xf numFmtId="0" fontId="2" fillId="0" borderId="11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 indent="1"/>
    </xf>
    <xf numFmtId="0" fontId="2" fillId="0" borderId="27" xfId="0" applyFont="1" applyBorder="1" applyAlignment="1">
      <alignment horizontal="center" vertical="center"/>
    </xf>
    <xf numFmtId="0" fontId="9" fillId="9" borderId="81" xfId="0" applyFont="1" applyFill="1" applyBorder="1" applyAlignment="1">
      <alignment horizontal="center" vertical="center"/>
    </xf>
    <xf numFmtId="0" fontId="9" fillId="9" borderId="71" xfId="0" applyFont="1" applyFill="1" applyBorder="1" applyAlignment="1">
      <alignment horizontal="center" vertical="center"/>
    </xf>
    <xf numFmtId="0" fontId="9" fillId="4" borderId="71" xfId="0" applyFont="1" applyFill="1" applyBorder="1" applyAlignment="1">
      <alignment horizontal="center" vertical="center"/>
    </xf>
    <xf numFmtId="0" fontId="9" fillId="4" borderId="81" xfId="0" applyFont="1" applyFill="1" applyBorder="1" applyAlignment="1">
      <alignment horizontal="center" vertical="center"/>
    </xf>
    <xf numFmtId="0" fontId="0" fillId="0" borderId="83" xfId="0" applyBorder="1" applyAlignment="1">
      <alignment horizontal="left" vertical="center" indent="1"/>
    </xf>
    <xf numFmtId="0" fontId="2" fillId="0" borderId="31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2" fillId="0" borderId="85" xfId="0" applyFont="1" applyBorder="1" applyAlignment="1">
      <alignment horizontal="left" vertical="center" indent="1"/>
    </xf>
    <xf numFmtId="0" fontId="0" fillId="0" borderId="86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16" fillId="3" borderId="87" xfId="0" applyFont="1" applyFill="1" applyBorder="1" applyAlignment="1">
      <alignment horizontal="center" vertical="center" wrapText="1"/>
    </xf>
    <xf numFmtId="0" fontId="7" fillId="0" borderId="88" xfId="0" applyFont="1" applyBorder="1" applyAlignment="1">
      <alignment horizontal="center" vertical="center"/>
    </xf>
    <xf numFmtId="0" fontId="18" fillId="2" borderId="89" xfId="0" applyFont="1" applyFill="1" applyBorder="1" applyAlignment="1">
      <alignment horizontal="center" vertical="center" wrapText="1"/>
    </xf>
    <xf numFmtId="0" fontId="18" fillId="0" borderId="89" xfId="0" applyFont="1" applyBorder="1" applyAlignment="1">
      <alignment horizontal="center" vertical="center" wrapText="1"/>
    </xf>
    <xf numFmtId="0" fontId="18" fillId="2" borderId="90" xfId="0" applyFont="1" applyFill="1" applyBorder="1" applyAlignment="1">
      <alignment horizontal="center" vertical="center" wrapText="1"/>
    </xf>
    <xf numFmtId="0" fontId="18" fillId="0" borderId="90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left" vertical="center" wrapText="1" indent="1"/>
    </xf>
    <xf numFmtId="0" fontId="15" fillId="0" borderId="43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2" fillId="0" borderId="95" xfId="0" applyFont="1" applyBorder="1" applyAlignment="1">
      <alignment horizontal="left" vertical="center" indent="1"/>
    </xf>
    <xf numFmtId="0" fontId="5" fillId="0" borderId="96" xfId="0" applyFont="1" applyBorder="1" applyAlignment="1">
      <alignment horizontal="center" vertical="center"/>
    </xf>
    <xf numFmtId="0" fontId="5" fillId="0" borderId="97" xfId="0" applyFont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101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0" fillId="0" borderId="103" xfId="0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3" fillId="0" borderId="105" xfId="0" applyFont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0" fontId="3" fillId="0" borderId="102" xfId="0" applyFont="1" applyBorder="1" applyAlignment="1">
      <alignment horizontal="center" vertical="center"/>
    </xf>
    <xf numFmtId="0" fontId="3" fillId="0" borderId="98" xfId="0" applyFont="1" applyBorder="1" applyAlignment="1">
      <alignment horizontal="center" vertical="center"/>
    </xf>
    <xf numFmtId="0" fontId="3" fillId="0" borderId="100" xfId="0" applyFont="1" applyBorder="1" applyAlignment="1">
      <alignment horizontal="center" vertical="center"/>
    </xf>
    <xf numFmtId="0" fontId="2" fillId="0" borderId="106" xfId="0" applyFont="1" applyBorder="1" applyAlignment="1">
      <alignment horizontal="left" vertical="center" indent="1"/>
    </xf>
    <xf numFmtId="0" fontId="2" fillId="0" borderId="107" xfId="0" applyFont="1" applyBorder="1" applyAlignment="1">
      <alignment horizontal="center" vertical="center"/>
    </xf>
    <xf numFmtId="0" fontId="2" fillId="0" borderId="108" xfId="0" applyFont="1" applyBorder="1" applyAlignment="1">
      <alignment horizontal="center" vertical="center"/>
    </xf>
    <xf numFmtId="0" fontId="0" fillId="16" borderId="0" xfId="0" applyFill="1">
      <alignment vertical="center"/>
    </xf>
    <xf numFmtId="0" fontId="0" fillId="16" borderId="0" xfId="0" applyFill="1" applyAlignment="1">
      <alignment horizontal="center" vertical="center"/>
    </xf>
    <xf numFmtId="0" fontId="11" fillId="16" borderId="0" xfId="0" applyFont="1" applyFill="1">
      <alignment vertical="center"/>
    </xf>
    <xf numFmtId="0" fontId="11" fillId="16" borderId="0" xfId="0" applyFont="1" applyFill="1" applyAlignment="1">
      <alignment horizontal="center" vertical="center"/>
    </xf>
    <xf numFmtId="0" fontId="0" fillId="15" borderId="109" xfId="0" applyFill="1" applyBorder="1" applyAlignment="1">
      <alignment horizontal="left" vertical="center" indent="1"/>
    </xf>
    <xf numFmtId="0" fontId="1" fillId="15" borderId="86" xfId="0" applyFont="1" applyFill="1" applyBorder="1" applyAlignment="1">
      <alignment horizontal="center" vertical="center"/>
    </xf>
    <xf numFmtId="0" fontId="1" fillId="15" borderId="51" xfId="0" applyFont="1" applyFill="1" applyBorder="1" applyAlignment="1">
      <alignment horizontal="center" vertical="center"/>
    </xf>
    <xf numFmtId="0" fontId="0" fillId="15" borderId="76" xfId="0" applyFill="1" applyBorder="1" applyAlignment="1">
      <alignment horizontal="left" vertical="center" indent="1"/>
    </xf>
    <xf numFmtId="0" fontId="1" fillId="15" borderId="77" xfId="0" applyFont="1" applyFill="1" applyBorder="1" applyAlignment="1">
      <alignment horizontal="center" vertical="center"/>
    </xf>
    <xf numFmtId="0" fontId="1" fillId="15" borderId="73" xfId="0" applyFont="1" applyFill="1" applyBorder="1" applyAlignment="1">
      <alignment horizontal="left" vertical="center" indent="1"/>
    </xf>
    <xf numFmtId="0" fontId="1" fillId="15" borderId="74" xfId="0" applyFont="1" applyFill="1" applyBorder="1" applyAlignment="1">
      <alignment horizontal="center" vertical="center"/>
    </xf>
    <xf numFmtId="0" fontId="0" fillId="15" borderId="12" xfId="0" applyFill="1" applyBorder="1" applyAlignment="1">
      <alignment horizontal="left" vertical="center" indent="1"/>
    </xf>
    <xf numFmtId="0" fontId="2" fillId="15" borderId="10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3" fillId="0" borderId="110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" fillId="0" borderId="111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77" xfId="0" applyFont="1" applyBorder="1" applyAlignment="1">
      <alignment horizontal="center" vertical="center"/>
    </xf>
    <xf numFmtId="0" fontId="26" fillId="0" borderId="74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15" borderId="3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0" fillId="16" borderId="60" xfId="0" applyFill="1" applyBorder="1" applyAlignment="1">
      <alignment horizontal="center" vertical="center"/>
    </xf>
    <xf numFmtId="0" fontId="7" fillId="0" borderId="91" xfId="0" applyFont="1" applyBorder="1" applyAlignment="1">
      <alignment horizontal="center" vertical="center"/>
    </xf>
    <xf numFmtId="0" fontId="7" fillId="0" borderId="92" xfId="0" applyFont="1" applyBorder="1" applyAlignment="1">
      <alignment horizontal="center" vertical="center"/>
    </xf>
    <xf numFmtId="0" fontId="7" fillId="0" borderId="9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5" fillId="8" borderId="78" xfId="0" applyFont="1" applyFill="1" applyBorder="1" applyAlignment="1">
      <alignment horizontal="center" vertical="center"/>
    </xf>
    <xf numFmtId="0" fontId="25" fillId="8" borderId="79" xfId="0" applyFont="1" applyFill="1" applyBorder="1" applyAlignment="1">
      <alignment horizontal="center" vertical="center"/>
    </xf>
    <xf numFmtId="0" fontId="25" fillId="8" borderId="80" xfId="0" applyFont="1" applyFill="1" applyBorder="1" applyAlignment="1">
      <alignment horizontal="center" vertical="center"/>
    </xf>
    <xf numFmtId="0" fontId="10" fillId="9" borderId="82" xfId="0" applyFont="1" applyFill="1" applyBorder="1" applyAlignment="1">
      <alignment horizontal="center" vertical="center"/>
    </xf>
    <xf numFmtId="0" fontId="10" fillId="9" borderId="72" xfId="0" applyFont="1" applyFill="1" applyBorder="1" applyAlignment="1">
      <alignment horizontal="center" vertical="center"/>
    </xf>
    <xf numFmtId="0" fontId="10" fillId="4" borderId="82" xfId="0" applyFont="1" applyFill="1" applyBorder="1" applyAlignment="1">
      <alignment horizontal="center" vertical="center"/>
    </xf>
    <xf numFmtId="0" fontId="10" fillId="4" borderId="72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0" fontId="23" fillId="5" borderId="61" xfId="0" applyFont="1" applyFill="1" applyBorder="1" applyAlignment="1">
      <alignment horizontal="center" vertical="center"/>
    </xf>
    <xf numFmtId="0" fontId="23" fillId="5" borderId="49" xfId="0" applyFont="1" applyFill="1" applyBorder="1" applyAlignment="1">
      <alignment horizontal="center" vertical="center"/>
    </xf>
    <xf numFmtId="0" fontId="23" fillId="5" borderId="51" xfId="0" applyFont="1" applyFill="1" applyBorder="1" applyAlignment="1">
      <alignment horizontal="center" vertical="center"/>
    </xf>
    <xf numFmtId="0" fontId="23" fillId="7" borderId="50" xfId="0" applyFont="1" applyFill="1" applyBorder="1" applyAlignment="1">
      <alignment horizontal="center" vertical="center"/>
    </xf>
    <xf numFmtId="0" fontId="23" fillId="7" borderId="49" xfId="0" applyFont="1" applyFill="1" applyBorder="1" applyAlignment="1">
      <alignment horizontal="center" vertical="center"/>
    </xf>
    <xf numFmtId="0" fontId="23" fillId="7" borderId="68" xfId="0" applyFont="1" applyFill="1" applyBorder="1" applyAlignment="1">
      <alignment horizontal="center" vertical="center"/>
    </xf>
    <xf numFmtId="0" fontId="23" fillId="10" borderId="49" xfId="0" applyFont="1" applyFill="1" applyBorder="1" applyAlignment="1">
      <alignment horizontal="center" vertical="center"/>
    </xf>
    <xf numFmtId="0" fontId="23" fillId="10" borderId="51" xfId="0" applyFont="1" applyFill="1" applyBorder="1" applyAlignment="1">
      <alignment horizontal="center" vertical="center"/>
    </xf>
    <xf numFmtId="0" fontId="23" fillId="12" borderId="50" xfId="0" applyFont="1" applyFill="1" applyBorder="1" applyAlignment="1">
      <alignment horizontal="center" vertical="center"/>
    </xf>
    <xf numFmtId="0" fontId="23" fillId="12" borderId="49" xfId="0" applyFont="1" applyFill="1" applyBorder="1" applyAlignment="1">
      <alignment horizontal="center" vertical="center"/>
    </xf>
    <xf numFmtId="0" fontId="23" fillId="12" borderId="68" xfId="0" applyFont="1" applyFill="1" applyBorder="1" applyAlignment="1">
      <alignment horizontal="center" vertical="center"/>
    </xf>
    <xf numFmtId="0" fontId="24" fillId="13" borderId="64" xfId="0" applyFont="1" applyFill="1" applyBorder="1" applyAlignment="1">
      <alignment horizontal="center" vertical="center"/>
    </xf>
    <xf numFmtId="0" fontId="24" fillId="13" borderId="69" xfId="0" applyFont="1" applyFill="1" applyBorder="1" applyAlignment="1">
      <alignment horizontal="center" vertical="center"/>
    </xf>
    <xf numFmtId="0" fontId="24" fillId="14" borderId="62" xfId="0" applyFont="1" applyFill="1" applyBorder="1" applyAlignment="1">
      <alignment horizontal="center" vertical="center"/>
    </xf>
    <xf numFmtId="0" fontId="24" fillId="14" borderId="64" xfId="0" applyFont="1" applyFill="1" applyBorder="1" applyAlignment="1">
      <alignment horizontal="center" vertical="center"/>
    </xf>
    <xf numFmtId="0" fontId="24" fillId="14" borderId="69" xfId="0" applyFont="1" applyFill="1" applyBorder="1" applyAlignment="1">
      <alignment horizontal="center" vertical="center"/>
    </xf>
    <xf numFmtId="0" fontId="10" fillId="11" borderId="17" xfId="0" applyFont="1" applyFill="1" applyBorder="1" applyAlignment="1">
      <alignment horizontal="center" vertical="center"/>
    </xf>
    <xf numFmtId="0" fontId="10" fillId="11" borderId="67" xfId="0" applyFont="1" applyFill="1" applyBorder="1" applyAlignment="1">
      <alignment horizontal="center" vertical="center"/>
    </xf>
    <xf numFmtId="0" fontId="10" fillId="11" borderId="32" xfId="0" applyFont="1" applyFill="1" applyBorder="1" applyAlignment="1">
      <alignment horizontal="center" vertical="center"/>
    </xf>
    <xf numFmtId="0" fontId="10" fillId="11" borderId="72" xfId="0" applyFont="1" applyFill="1" applyBorder="1" applyAlignment="1">
      <alignment horizontal="center" vertical="center"/>
    </xf>
    <xf numFmtId="0" fontId="10" fillId="9" borderId="17" xfId="0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10" fillId="6" borderId="67" xfId="0" applyFont="1" applyFill="1" applyBorder="1" applyAlignment="1">
      <alignment horizontal="center" vertical="center"/>
    </xf>
    <xf numFmtId="0" fontId="10" fillId="6" borderId="32" xfId="0" applyFont="1" applyFill="1" applyBorder="1" applyAlignment="1">
      <alignment horizontal="center" vertical="center"/>
    </xf>
    <xf numFmtId="0" fontId="10" fillId="6" borderId="72" xfId="0" applyFont="1" applyFill="1" applyBorder="1" applyAlignment="1">
      <alignment horizontal="center" vertical="center"/>
    </xf>
  </cellXfs>
  <cellStyles count="1">
    <cellStyle name="표준" xfId="0" builtinId="0"/>
  </cellStyles>
  <dxfs count="179"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medium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medium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hair">
          <color auto="1"/>
        </top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hair">
          <color auto="1"/>
        </top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hair">
          <color auto="1"/>
        </top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hair">
          <color indexed="64"/>
        </top>
        <bottom style="medium">
          <color indexed="64"/>
        </bottom>
        <vertical/>
        <horizontal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medium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medium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medium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hair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hair">
          <color auto="1"/>
        </top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hair">
          <color auto="1"/>
        </top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hair">
          <color auto="1"/>
        </top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medium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hair">
          <color indexed="64"/>
        </top>
        <bottom style="medium">
          <color indexed="64"/>
        </bottom>
        <vertical/>
        <horizontal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hair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auto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hair">
          <color auto="1"/>
        </top>
        <bottom style="thin">
          <color indexed="64"/>
        </bottom>
        <vertical/>
        <horizontal/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hair">
          <color auto="1"/>
        </top>
        <bottom style="hair">
          <color auto="1"/>
        </bottom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16</xdr:col>
      <xdr:colOff>653423</xdr:colOff>
      <xdr:row>1</xdr:row>
      <xdr:rowOff>0</xdr:rowOff>
    </xdr:from>
    <xdr:to>
      <xdr:col>19</xdr:col>
      <xdr:colOff>0</xdr:colOff>
      <xdr:row>8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팀 1">
              <a:extLst>
                <a:ext uri="{FF2B5EF4-FFF2-40B4-BE49-F238E27FC236}">
                  <a16:creationId xmlns:a16="http://schemas.microsoft.com/office/drawing/2014/main" id="{B4EB3596-7B9C-D28A-6FB2-FF53F089EF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팀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56505" y="208926"/>
              <a:ext cx="1803730" cy="2249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absolute">
    <xdr:from>
      <xdr:col>19</xdr:col>
      <xdr:colOff>0</xdr:colOff>
      <xdr:row>1</xdr:row>
      <xdr:rowOff>0</xdr:rowOff>
    </xdr:from>
    <xdr:to>
      <xdr:col>21</xdr:col>
      <xdr:colOff>1</xdr:colOff>
      <xdr:row>8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상대팀 1">
              <a:extLst>
                <a:ext uri="{FF2B5EF4-FFF2-40B4-BE49-F238E27FC236}">
                  <a16:creationId xmlns:a16="http://schemas.microsoft.com/office/drawing/2014/main" id="{92CCAF35-1D1F-0BF1-B7B0-5F8C51B815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상대팀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60235" y="208926"/>
              <a:ext cx="1803729" cy="2249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15</xdr:col>
      <xdr:colOff>6965</xdr:colOff>
      <xdr:row>1</xdr:row>
      <xdr:rowOff>0</xdr:rowOff>
    </xdr:from>
    <xdr:to>
      <xdr:col>18</xdr:col>
      <xdr:colOff>0</xdr:colOff>
      <xdr:row>10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팀">
              <a:extLst>
                <a:ext uri="{FF2B5EF4-FFF2-40B4-BE49-F238E27FC236}">
                  <a16:creationId xmlns:a16="http://schemas.microsoft.com/office/drawing/2014/main" id="{052969B9-74B9-8CCB-E8AF-C653C63543C2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팀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74553" y="208926"/>
              <a:ext cx="2451400" cy="29319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twoCellAnchor>
  <xdr:twoCellAnchor editAs="absolute">
    <xdr:from>
      <xdr:col>17</xdr:col>
      <xdr:colOff>1149093</xdr:colOff>
      <xdr:row>0</xdr:row>
      <xdr:rowOff>204686</xdr:rowOff>
    </xdr:from>
    <xdr:to>
      <xdr:col>21</xdr:col>
      <xdr:colOff>0</xdr:colOff>
      <xdr:row>10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상대팀">
              <a:extLst>
                <a:ext uri="{FF2B5EF4-FFF2-40B4-BE49-F238E27FC236}">
                  <a16:creationId xmlns:a16="http://schemas.microsoft.com/office/drawing/2014/main" id="{B45FAA61-945B-85B2-FEF0-134CA8090559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상대팀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25952" y="204686"/>
              <a:ext cx="2458365" cy="29361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팀" xr10:uid="{24EA0257-3DFD-4B9C-97FE-E7D8CE4FEDE5}" sourceName="팀">
  <extLst>
    <x:ext xmlns:x15="http://schemas.microsoft.com/office/spreadsheetml/2010/11/main" uri="{2F2917AC-EB37-4324-AD4E-5DD8C200BD13}">
      <x15:tableSlicerCache tableId="15" column="3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상대팀" xr10:uid="{9D1E5490-8C5C-4155-9635-879E469701EB}" sourceName="상대팀">
  <extLst>
    <x:ext xmlns:x15="http://schemas.microsoft.com/office/spreadsheetml/2010/11/main" uri="{2F2917AC-EB37-4324-AD4E-5DD8C200BD13}">
      <x15:tableSlicerCache tableId="15" column="6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팀1" xr10:uid="{413FB2BF-2DEA-462A-8EED-7DA33AC7E9B2}" sourceName="팀">
  <extLst>
    <x:ext xmlns:x15="http://schemas.microsoft.com/office/spreadsheetml/2010/11/main" uri="{2F2917AC-EB37-4324-AD4E-5DD8C200BD13}">
      <x15:tableSlicerCache tableId="2" column="3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상대팀1" xr10:uid="{240A0287-DA9B-40C7-A357-DDC18F75DEEC}" sourceName="상대팀">
  <extLst>
    <x:ext xmlns:x15="http://schemas.microsoft.com/office/spreadsheetml/2010/11/main" uri="{2F2917AC-EB37-4324-AD4E-5DD8C200BD13}">
      <x15:tableSlicerCache tableId="2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팀 1" xr10:uid="{18BC8CD5-889A-4619-B85F-CC51CD06334F}" cache="슬라이서_팀1" caption="팀" style="SlicerStyleOther2" rowHeight="260475"/>
  <slicer name="상대팀 1" xr10:uid="{9CAF1606-1D98-44A8-B7C4-CEE95E8D7644}" cache="슬라이서_상대팀1" caption="상대팀" style="SlicerStyleLight6" rowHeight="2604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팀" xr10:uid="{E9DF2DF4-A25E-4B2C-B557-720D0702E67A}" cache="슬라이서_팀" caption="팀" style="SlicerStyleDark1" lockedPosition="1" rowHeight="260475"/>
  <slicer name="상대팀" xr10:uid="{255F88D8-54A7-4FEE-8AB9-79901CC474EF}" cache="슬라이서_상대팀" caption="상대팀" style="SlicerStyleDark5" lockedPosition="1" rowHeight="2604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C9DFE0-F09F-4AC2-A337-4697B30FC335}" name="표1부리그경기결과" displayName="표1부리그경기결과" ref="P10:U70" totalsRowShown="0" headerRowDxfId="169" dataDxfId="168" tableBorderDxfId="167">
  <autoFilter ref="P10:U70" xr:uid="{1D7BECB0-7E11-4542-9625-5924A17855C1}"/>
  <sortState xmlns:xlrd2="http://schemas.microsoft.com/office/spreadsheetml/2017/richdata2" ref="P11:U70">
    <sortCondition ref="P10:P70"/>
  </sortState>
  <tableColumns count="6">
    <tableColumn id="1" xr3:uid="{89BD3071-C378-48B3-A3B2-5A55E712C294}" name="NO" dataDxfId="166"/>
    <tableColumn id="2" xr3:uid="{03E9872A-26D2-4E8B-A548-CDFF9089AE45}" name="결과" dataDxfId="165">
      <calculatedColumnFormula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calculatedColumnFormula>
    </tableColumn>
    <tableColumn id="3" xr3:uid="{4A3FAD69-2CB2-4A2C-AD7F-EA3A41F6C43D}" name="팀" dataDxfId="164"/>
    <tableColumn id="4" xr3:uid="{4E2C808E-5E6F-4013-BED4-C0A844514577}" name="득점" dataDxfId="163"/>
    <tableColumn id="5" xr3:uid="{B307050D-7477-4C7C-B298-5732F22A466D}" name="실점" dataDxfId="162"/>
    <tableColumn id="6" xr3:uid="{463A0F2E-4629-45BD-A819-0EBCB0B90F32}" name="상대팀" dataDxfId="161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98D1405-3E9B-4912-8FA7-46D6BEA87E05}" name="표2부리그" displayName="표2부리그" ref="M3:U11" totalsRowShown="0" headerRowDxfId="160" dataDxfId="159">
  <autoFilter ref="M3:U11" xr:uid="{398D1405-3E9B-4912-8FA7-46D6BEA87E05}"/>
  <sortState xmlns:xlrd2="http://schemas.microsoft.com/office/spreadsheetml/2017/richdata2" ref="M4:U11">
    <sortCondition ref="M3:M11"/>
  </sortState>
  <tableColumns count="9">
    <tableColumn id="1" xr3:uid="{A0FC2201-2A9A-48D9-A555-628E89C02916}" name="팀" dataDxfId="158"/>
    <tableColumn id="9" xr3:uid="{DEFA1BA2-D743-4067-84B9-1E7B719B60C2}" name="승점점수" dataDxfId="157">
      <calculatedColumnFormula>표2부리그[[#This Row],[승]]*3+표2부리그[[#This Row],[무]]</calculatedColumnFormula>
    </tableColumn>
    <tableColumn id="2" xr3:uid="{AACD5620-21D5-43DA-A9F4-7FBDA90EB4FE}" name="경기" dataDxfId="156">
      <calculatedColumnFormula>표2부리그[[#This Row],[승]]+표2부리그[[#This Row],[무]]+표2부리그[[#This Row],[패]]</calculatedColumnFormula>
    </tableColumn>
    <tableColumn id="3" xr3:uid="{E248D5F7-87AC-4B31-A1E3-81C78F0275C0}" name="승" dataDxfId="155">
      <calculatedColumnFormula>COUNTIFS(표100[팀],표2부리그[[#This Row],[팀]],표100[결과],$L$2)</calculatedColumnFormula>
    </tableColumn>
    <tableColumn id="4" xr3:uid="{2B27B48F-1377-4FDA-82DA-5170423A952F}" name="무" dataDxfId="154">
      <calculatedColumnFormula>COUNTIFS(표100[팀],표2부리그[[#This Row],[팀]],표100[결과],$M$2)</calculatedColumnFormula>
    </tableColumn>
    <tableColumn id="5" xr3:uid="{66F671C9-9AD8-4295-92E2-D4B595820BE3}" name="패" dataDxfId="153">
      <calculatedColumnFormula>COUNTIFS(표100[팀],표2부리그[[#This Row],[팀]],표100[결과],$N$2)</calculatedColumnFormula>
    </tableColumn>
    <tableColumn id="6" xr3:uid="{8D0A9701-43C8-44DE-AE85-08A6B1AD4F79}" name="득점" dataDxfId="152">
      <calculatedColumnFormula>SUMIFS(표100[득점],표100[팀],표2부리그[[#This Row],[팀]])</calculatedColumnFormula>
    </tableColumn>
    <tableColumn id="7" xr3:uid="{24C82B08-0A3D-4ABC-83B1-220099AE1C48}" name="실점" dataDxfId="151">
      <calculatedColumnFormula>SUMIFS(표100[실점],표100[팀],표2부리그[[#This Row],[팀]])</calculatedColumnFormula>
    </tableColumn>
    <tableColumn id="8" xr3:uid="{A0C16888-273C-46AD-8242-BA4064C8043C}" name="득실" dataDxfId="150">
      <calculatedColumnFormula>표2부리그[[#This Row],[득점]]-표2부리그[[#This Row],[실점]]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DE9989F-393B-461A-81DE-D007579019CD}" name="표1부리그" displayName="표1부리그" ref="C3:K9" totalsRowShown="0" headerRowDxfId="149" dataDxfId="148">
  <autoFilter ref="C3:K9" xr:uid="{1DE9989F-393B-461A-81DE-D007579019CD}"/>
  <sortState xmlns:xlrd2="http://schemas.microsoft.com/office/spreadsheetml/2017/richdata2" ref="C4:K9">
    <sortCondition ref="C3:C9"/>
  </sortState>
  <tableColumns count="9">
    <tableColumn id="1" xr3:uid="{C51F0983-3E55-43E6-9ED8-8F4C301F62B1}" name="팀" dataDxfId="147"/>
    <tableColumn id="9" xr3:uid="{DDD28350-A4F2-42DC-BF3F-6FF1D02F1E43}" name="승점점수" dataDxfId="146">
      <calculatedColumnFormula>표1부리그[[#This Row],[승]]*3+표1부리그[[#This Row],[무]]</calculatedColumnFormula>
    </tableColumn>
    <tableColumn id="2" xr3:uid="{739CC69B-3D36-4365-A486-B7A86752172D}" name="경기" dataDxfId="145">
      <calculatedColumnFormula>표1부리그[[#This Row],[승]]+표1부리그[[#This Row],[무]]+표1부리그[[#This Row],[패]]</calculatedColumnFormula>
    </tableColumn>
    <tableColumn id="3" xr3:uid="{4B343DB4-53DE-4C03-944E-B18FFC36BB9E}" name="승" dataDxfId="144">
      <calculatedColumnFormula>COUNTIFS(표100[팀],표1부리그[[#This Row],[팀]],표100[결과],$L$2)</calculatedColumnFormula>
    </tableColumn>
    <tableColumn id="4" xr3:uid="{8324C8CD-0074-4F8A-9CC4-F1D828557478}" name="무" dataDxfId="143">
      <calculatedColumnFormula>COUNTIFS(표100[팀],표1부리그[[#This Row],[팀]],표100[결과],$M$2)</calculatedColumnFormula>
    </tableColumn>
    <tableColumn id="5" xr3:uid="{ED1EEB22-9FE1-4ADE-9470-02210B7310DB}" name="패" dataDxfId="142">
      <calculatedColumnFormula>COUNTIFS(표100[팀],표1부리그[[#This Row],[팀]],표100[결과],$N$2)</calculatedColumnFormula>
    </tableColumn>
    <tableColumn id="6" xr3:uid="{A308886F-AF15-4CFE-8D08-F5F3E34D9256}" name="득점" dataDxfId="141">
      <calculatedColumnFormula>SUMIFS(표100[득점],표100[팀],표1부리그[[#This Row],[팀]])</calculatedColumnFormula>
    </tableColumn>
    <tableColumn id="7" xr3:uid="{CA64CAFE-49A7-4B57-A8A5-2DCD687DEF29}" name="실점" dataDxfId="140">
      <calculatedColumnFormula>SUMIFS(표100[실점],표100[팀],표1부리그[[#This Row],[팀]])</calculatedColumnFormula>
    </tableColumn>
    <tableColumn id="8" xr3:uid="{E6717C54-9A53-4AC2-9201-A234293AE9ED}" name="득실" dataDxfId="139">
      <calculatedColumnFormula>표1부리그[[#This Row],[득점]]-표1부리그[[#This Row],[실점]]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D7BECB0-7E11-4542-9625-5924A17855C1}" name="표100" displayName="표100" ref="P12:U124" totalsRowShown="0" headerRowDxfId="178" dataDxfId="177" tableBorderDxfId="176">
  <autoFilter ref="P12:U124" xr:uid="{1D7BECB0-7E11-4542-9625-5924A17855C1}">
    <filterColumn colId="2">
      <filters>
        <filter val="프랑스"/>
      </filters>
    </filterColumn>
  </autoFilter>
  <sortState xmlns:xlrd2="http://schemas.microsoft.com/office/spreadsheetml/2017/richdata2" ref="P13:U124">
    <sortCondition ref="R12:R124"/>
  </sortState>
  <tableColumns count="6">
    <tableColumn id="1" xr3:uid="{7C72AED6-48C4-4BAA-85FD-449852D4FF57}" name="NO" dataDxfId="175"/>
    <tableColumn id="2" xr3:uid="{3B1531D8-775D-4155-A87D-3E8953088C7F}" name="결과" dataDxfId="174">
      <calculatedColumnFormula>IF(표100[[#This Row],[득점]]="","미진행",IF(표100[[#This Row],[득점]]&gt;표100[[#This Row],[실점]],"승",IF(표100[[#This Row],[득점]]=표100[[#This Row],[실점]],"무",IF(표100[[#This Row],[득점]]&lt;표100[[#This Row],[실점]],"패","미진행"))))</calculatedColumnFormula>
    </tableColumn>
    <tableColumn id="3" xr3:uid="{B3D7CB5D-BF9C-4367-A77E-D71238180BF4}" name="팀" dataDxfId="173"/>
    <tableColumn id="4" xr3:uid="{66023EAE-AF0B-4B17-A850-888D80ED6D3D}" name="득점" dataDxfId="172"/>
    <tableColumn id="5" xr3:uid="{78228ABE-DD59-4A0C-8D58-1586B8B806C7}" name="실점" dataDxfId="171"/>
    <tableColumn id="6" xr3:uid="{38A07F5E-FE72-4DD5-8C10-05C90EC11317}" name="상대팀" dataDxfId="170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B2A89D-2F51-4398-BB64-BFC79B04D419}" name="표2_4" displayName="표2_4" ref="V4:AD8" totalsRowShown="0" headerRowDxfId="138" dataDxfId="137">
  <autoFilter ref="V4:AD8" xr:uid="{2D361B3E-072B-47C0-84A5-DBE13DBAD7D5}"/>
  <tableColumns count="9">
    <tableColumn id="1" xr3:uid="{F312621D-D8EC-4E13-81CD-E3CD80B5F807}" name="팀" dataDxfId="136"/>
    <tableColumn id="2" xr3:uid="{D6659F49-4723-4457-87BD-643C6341BBAE}" name="경기" dataDxfId="135">
      <calculatedColumnFormula>표2_4[[#This Row],[승]]+표2_4[[#This Row],[무]]+표2_4[[#This Row],[패]]</calculatedColumnFormula>
    </tableColumn>
    <tableColumn id="3" xr3:uid="{3AB751BB-2842-464D-88FB-5BE9B2A8D471}" name="승" dataDxfId="134">
      <calculatedColumnFormula>COUNTIFS(챔스A[팀1 결과],X$3,챔스A[팀1],표2_4[[#This Row],[팀]])+COUNTIFS(챔스A[팀2 결과],X$3,챔스A[팀2],표2_4[[#This Row],[팀]])</calculatedColumnFormula>
    </tableColumn>
    <tableColumn id="4" xr3:uid="{DC6F89B2-5451-47F2-8DBB-AC79814E2A50}" name="무" dataDxfId="133">
      <calculatedColumnFormula>COUNTIFS(챔스A[팀1 결과],Y$3,챔스A[팀1],표2_4[[#This Row],[팀]])+COUNTIFS(챔스A[팀2 결과],Y$3,챔스A[팀2],표2_4[[#This Row],[팀]])</calculatedColumnFormula>
    </tableColumn>
    <tableColumn id="5" xr3:uid="{A942781F-97CA-4729-9E3B-2B60619381F9}" name="패" dataDxfId="132">
      <calculatedColumnFormula>COUNTIFS(챔스A[팀1 결과],Z$3,챔스A[팀1],표2_4[[#This Row],[팀]])+COUNTIFS(챔스A[팀2 결과],Z$3,챔스A[팀2],표2_4[[#This Row],[팀]])</calculatedColumnFormula>
    </tableColumn>
    <tableColumn id="6" xr3:uid="{6CE21770-DDD3-4E7C-AF78-9AF253B37E47}" name="득점" dataDxfId="131">
      <calculatedColumnFormula>SUMIF(챔스A[팀1],표2_4[[#This Row],[팀]],챔스A[팀1 S])+SUMIF(챔스A[팀2],표2_4[[#This Row],[팀]],챔스A[팀2 S])</calculatedColumnFormula>
    </tableColumn>
    <tableColumn id="7" xr3:uid="{044FA533-91C4-453A-AD95-528BE3D76FF9}" name="실점" dataDxfId="130">
      <calculatedColumnFormula>SUMIF(챔스A[팀1],표2_4[[#This Row],[팀]],챔스A[팀2 S])+SUMIF(챔스A[팀2],표2_4[[#This Row],[팀]],챔스A[팀1 S])</calculatedColumnFormula>
    </tableColumn>
    <tableColumn id="8" xr3:uid="{5CAF2E93-82ED-4F26-BD6B-F43399844A79}" name="득실" dataDxfId="129">
      <calculatedColumnFormula>표2_4[[#This Row],[득점]]-표2_4[[#This Row],[실점]]</calculatedColumnFormula>
    </tableColumn>
    <tableColumn id="9" xr3:uid="{19167AC0-F839-4568-B6F9-E5201ECAFD83}" name="승점점수" dataDxfId="128">
      <calculatedColumnFormula>표2_4[[#This Row],[승]]*3+표2_4[[#This Row],[무]]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2A0D11-FC44-4B7C-AE58-4020B37ECFCE}" name="챔스A" displayName="챔스A" ref="O4:T16" totalsRowShown="0" headerRowDxfId="127" tableBorderDxfId="126">
  <autoFilter ref="O4:T16" xr:uid="{1E31C581-9F54-40C8-A5E4-AD82E1CFEBA3}"/>
  <sortState xmlns:xlrd2="http://schemas.microsoft.com/office/spreadsheetml/2017/richdata2" ref="O5:T16">
    <sortCondition descending="1" ref="P4:P16"/>
  </sortState>
  <tableColumns count="6">
    <tableColumn id="1" xr3:uid="{E11EF764-A2B6-4AD7-A92E-1214D0A72312}" name="팀1 결과" dataDxfId="125">
      <calculatedColumnFormula>IF(Q5="","",IF(Q5&gt;R5,"승",IF(Q5=R5,"무",IF(Q5&lt;R5,"패",""))))</calculatedColumnFormula>
    </tableColumn>
    <tableColumn id="2" xr3:uid="{8E2501E1-1846-44D2-AB19-4C19167C694C}" name="팀1" dataDxfId="124"/>
    <tableColumn id="3" xr3:uid="{A1EE6E5E-3A49-4B82-9419-0BC1949F86FB}" name="팀1 S" dataDxfId="123"/>
    <tableColumn id="4" xr3:uid="{BEFEC816-38C5-4DDA-9DC2-AA1C02BCB9D6}" name="팀2 S" dataDxfId="122"/>
    <tableColumn id="5" xr3:uid="{957923B1-60FC-4657-BC5D-A06D5925C809}" name="팀2" dataDxfId="121"/>
    <tableColumn id="6" xr3:uid="{D67ED0F1-B98C-468C-A7C7-0FF09D7CEDD0}" name="팀2 결과" dataDxfId="120">
      <calculatedColumnFormula>IF(O5="","",IF(O5="무","무",IF(O5="승","패","승")))</calculatedColumnFormula>
    </tableColumn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733118-E5ED-4284-952D-AC2C5758BE3C}" name="표2_46" displayName="표2_46" ref="V11:AD15" totalsRowShown="0" headerRowDxfId="119" dataDxfId="118">
  <autoFilter ref="V11:AD15" xr:uid="{41733118-E5ED-4284-952D-AC2C5758BE3C}"/>
  <tableColumns count="9">
    <tableColumn id="1" xr3:uid="{4F9D2760-BBF6-494C-8438-248F8EC63E64}" name="팀" dataDxfId="117"/>
    <tableColumn id="2" xr3:uid="{96404A2C-8135-4962-82CD-DD6F955D5E21}" name="경기" dataDxfId="116">
      <calculatedColumnFormula>표2_46[[#This Row],[승]]+표2_46[[#This Row],[무]]+표2_46[[#This Row],[패]]</calculatedColumnFormula>
    </tableColumn>
    <tableColumn id="3" xr3:uid="{858120F2-FFAB-4A68-911A-473B18A6CF6F}" name="승" dataDxfId="115">
      <calculatedColumnFormula>COUNTIFS(챔스A_7[팀1 결과],X$10,챔스A_7[팀1],표2_46[[#This Row],[팀]])+COUNTIFS(챔스A_7[팀2 결과],X$10,챔스A_7[팀2],표2_46[[#This Row],[팀]])</calculatedColumnFormula>
    </tableColumn>
    <tableColumn id="4" xr3:uid="{A48EFA01-7536-4091-A24C-937167E6C84D}" name="무" dataDxfId="114">
      <calculatedColumnFormula>COUNTIFS(챔스A_7[팀1 결과],Y$10,챔스A_7[팀1],표2_46[[#This Row],[팀]])+COUNTIFS(챔스A_7[팀2 결과],Y$10,챔스A_7[팀2],표2_46[[#This Row],[팀]])</calculatedColumnFormula>
    </tableColumn>
    <tableColumn id="5" xr3:uid="{E493D34A-182F-4D97-B3DF-FD81BB031DDC}" name="패" dataDxfId="113">
      <calculatedColumnFormula>COUNTIFS(챔스A_7[팀1 결과],Z$10,챔스A_7[팀1],표2_46[[#This Row],[팀]])+COUNTIFS(챔스A_7[팀2 결과],Z$10,챔스A_7[팀2],표2_46[[#This Row],[팀]])</calculatedColumnFormula>
    </tableColumn>
    <tableColumn id="6" xr3:uid="{1B9F3E22-6856-4BB5-A61D-56106FCD8227}" name="득점" dataDxfId="112">
      <calculatedColumnFormula>SUMIF(챔스A_7[팀1],표2_46[[#This Row],[팀]],챔스A_7[팀1 S])+SUMIF(챔스A_7[팀2],표2_46[[#This Row],[팀]],챔스A_7[팀2 S])</calculatedColumnFormula>
    </tableColumn>
    <tableColumn id="7" xr3:uid="{83E94B4A-C208-4B88-A42D-614A16A7685E}" name="실점" dataDxfId="111">
      <calculatedColumnFormula>SUMIF(챔스A_7[팀1],표2_46[[#This Row],[팀]],챔스A_7[팀2 S])+SUMIF(챔스A_7[팀2],표2_46[[#This Row],[팀]],챔스A_7[팀1 S])</calculatedColumnFormula>
    </tableColumn>
    <tableColumn id="8" xr3:uid="{82DC0C80-2CC8-4C82-BA0A-A072BA6CB33C}" name="득실" dataDxfId="110">
      <calculatedColumnFormula>표2_46[[#This Row],[득점]]-표2_46[[#This Row],[실점]]</calculatedColumnFormula>
    </tableColumn>
    <tableColumn id="9" xr3:uid="{1B3A99D6-12D7-42C1-9A03-FB89DF444020}" name="승점점수" dataDxfId="109">
      <calculatedColumnFormula>표2_46[[#This Row],[승]]*3+표2_46[[#This Row],[무]]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CDA4D7D-F1C1-4388-A07E-8AD204AA74A6}" name="챔스A_7911" displayName="챔스A_7911" ref="O43:T49" totalsRowShown="0" headerRowDxfId="108" tableBorderDxfId="107">
  <autoFilter ref="O43:T49" xr:uid="{BCDA4D7D-F1C1-4388-A07E-8AD204AA74A6}"/>
  <sortState xmlns:xlrd2="http://schemas.microsoft.com/office/spreadsheetml/2017/richdata2" ref="O44:T49">
    <sortCondition descending="1" ref="P43:P49"/>
  </sortState>
  <tableColumns count="6">
    <tableColumn id="1" xr3:uid="{FD186B25-3AB1-4EAD-82A3-864E7A3522CF}" name="팀1 결과" dataDxfId="106">
      <calculatedColumnFormula>IF(Q44="","",IF(Q44&gt;R44,"승",IF(Q44=R44,"무",IF(Q44&lt;R44,"패",""))))</calculatedColumnFormula>
    </tableColumn>
    <tableColumn id="2" xr3:uid="{344F78FE-8637-41BE-8A63-6B0F3875A8F3}" name="팀1" dataDxfId="105"/>
    <tableColumn id="3" xr3:uid="{F407A39D-A3EE-4CBF-B031-9D46F9200D29}" name="팀1 S" dataDxfId="104"/>
    <tableColumn id="4" xr3:uid="{99B2B1BF-0D33-4CFB-BBAF-1DF86A623DBC}" name="팀2 S" dataDxfId="103"/>
    <tableColumn id="5" xr3:uid="{DF95546A-8C8E-466B-9117-3285A8D34FD9}" name="팀2" dataDxfId="102"/>
    <tableColumn id="6" xr3:uid="{E588D62D-F151-485A-A6B8-4554CCBAB33C}" name="팀2 결과" dataDxfId="101">
      <calculatedColumnFormula>IF(O44="","",IF(O44="무","무",IF(O44="승","패","승")))</calculatedColumnFormula>
    </tableColumn>
  </tableColumns>
  <tableStyleInfo name="TableStyleMedium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BC9482-DBE4-4095-96E8-BA7DDDD128DA}" name="챔스A_7" displayName="챔스A_7" ref="O19:T31" totalsRowShown="0" headerRowDxfId="100" tableBorderDxfId="99">
  <autoFilter ref="O19:T31" xr:uid="{14BC9482-DBE4-4095-96E8-BA7DDDD128DA}"/>
  <sortState xmlns:xlrd2="http://schemas.microsoft.com/office/spreadsheetml/2017/richdata2" ref="O20:T31">
    <sortCondition descending="1" ref="P19:P31"/>
  </sortState>
  <tableColumns count="6">
    <tableColumn id="1" xr3:uid="{14DCC67E-0974-47E0-B403-E734477F84FF}" name="팀1 결과" dataDxfId="98">
      <calculatedColumnFormula>IF(Q20="","",IF(Q20&gt;R20,"승",IF(Q20=R20,"무",IF(Q20&lt;R20,"패",""))))</calculatedColumnFormula>
    </tableColumn>
    <tableColumn id="2" xr3:uid="{6FA6EA59-DC63-4559-8168-17AF621A8E15}" name="팀1" dataDxfId="97"/>
    <tableColumn id="3" xr3:uid="{B81241E7-F326-4201-A01F-173540363345}" name="팀1 S" dataDxfId="96"/>
    <tableColumn id="4" xr3:uid="{21C1BB1A-A72C-4EF2-AA6D-78976683F8C7}" name="팀2 S" dataDxfId="95"/>
    <tableColumn id="5" xr3:uid="{15929D31-016E-4E57-B850-A2CD06C49022}" name="팀2" dataDxfId="94"/>
    <tableColumn id="6" xr3:uid="{B0142E18-F0CE-4288-8951-F04F18C3BCBB}" name="팀2 결과" dataDxfId="93">
      <calculatedColumnFormula>IF(O20="","",IF(O20="무","무",IF(O20="승","패","승")))</calculatedColumnFormula>
    </tableColumn>
  </tableColumns>
  <tableStyleInfo name="TableStyleMedium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6B1AEB5-7069-464E-94E1-67A6F0830AF4}" name="표2_4681015" displayName="표2_4681015" ref="V18:AD21" totalsRowShown="0" headerRowDxfId="92" dataDxfId="91">
  <autoFilter ref="V18:AD21" xr:uid="{66B1AEB5-7069-464E-94E1-67A6F0830AF4}"/>
  <tableColumns count="9">
    <tableColumn id="1" xr3:uid="{336CC042-7BFD-454E-8B92-857D114AF0B4}" name="팀" dataDxfId="90"/>
    <tableColumn id="2" xr3:uid="{870C076F-E2EE-4975-9931-661B34961C0F}" name="경기" dataDxfId="89">
      <calculatedColumnFormula>표2_4681015[[#This Row],[승]]+표2_4681015[[#This Row],[무]]+표2_4681015[[#This Row],[패]]</calculatedColumnFormula>
    </tableColumn>
    <tableColumn id="3" xr3:uid="{B02F869D-7D91-4902-B79B-0878520642FC}" name="승" dataDxfId="88">
      <calculatedColumnFormula>COUNTIFS(챔스A_791118[팀1 결과],X$17,챔스A_791118[팀1],표2_4681015[[#This Row],[팀]])+COUNTIFS(챔스A_791118[팀2 결과],X$17,챔스A_791118[팀2],표2_4681015[[#This Row],[팀]])</calculatedColumnFormula>
    </tableColumn>
    <tableColumn id="4" xr3:uid="{1E400196-DEF9-463E-A2A1-7A8AE5282725}" name="무" dataDxfId="87">
      <calculatedColumnFormula>COUNTIFS(챔스A_791118[팀1 결과],Y$17,챔스A_791118[팀1],표2_4681015[[#This Row],[팀]])+COUNTIFS(챔스A_791118[팀2 결과],Y$17,챔스A_791118[팀2],표2_4681015[[#This Row],[팀]])</calculatedColumnFormula>
    </tableColumn>
    <tableColumn id="5" xr3:uid="{7847F7D4-7507-4D43-A05C-893760475C13}" name="패" dataDxfId="86">
      <calculatedColumnFormula>COUNTIFS(챔스A_791118[팀1 결과],Z$17,챔스A_791118[팀1],표2_4681015[[#This Row],[팀]])+COUNTIFS(챔스A_791118[팀2 결과],Z$17,챔스A_791118[팀2],표2_4681015[[#This Row],[팀]])</calculatedColumnFormula>
    </tableColumn>
    <tableColumn id="6" xr3:uid="{4ED72873-DBF7-42A1-90C2-9FE0A86B24CD}" name="득점" dataDxfId="85">
      <calculatedColumnFormula>SUMIF(챔스A_791118[팀1],표2_4681015[[#This Row],[팀]],챔스A_791118[팀1 S])+SUMIF(챔스A_791118[팀2],표2_4681015[[#This Row],[팀]],챔스A_791118[팀2 S])</calculatedColumnFormula>
    </tableColumn>
    <tableColumn id="7" xr3:uid="{9ADC586E-31E4-4819-90FA-643A68A6FC66}" name="실점" dataDxfId="84">
      <calculatedColumnFormula>SUMIF(챔스A_791118[팀1],표2_4681015[[#This Row],[팀]],챔스A_791118[팀2 S])+SUMIF(챔스A_791118[팀2],표2_4681015[[#This Row],[팀]],챔스A_791118[팀1 S])</calculatedColumnFormula>
    </tableColumn>
    <tableColumn id="8" xr3:uid="{913F72DD-D297-48BF-B57F-47CF6D780794}" name="득실" dataDxfId="83">
      <calculatedColumnFormula>표2_4681015[[#This Row],[득점]]-표2_4681015[[#This Row],[실점]]</calculatedColumnFormula>
    </tableColumn>
    <tableColumn id="9" xr3:uid="{91447329-37FA-4CF1-AE9D-3B7572BDA0FA}" name="승점점수" dataDxfId="82">
      <calculatedColumnFormula>표2_4681015[[#This Row],[승]]*3+표2_4681015[[#This Row],[무]]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DF6FD3A-0CF2-4260-A770-F50CD9F6A1BD}" name="챔스A_791118" displayName="챔스A_791118" ref="O34:T40" totalsRowShown="0" headerRowDxfId="81" tableBorderDxfId="80">
  <autoFilter ref="O34:T40" xr:uid="{4DF6FD3A-0CF2-4260-A770-F50CD9F6A1BD}"/>
  <sortState xmlns:xlrd2="http://schemas.microsoft.com/office/spreadsheetml/2017/richdata2" ref="O35:T40">
    <sortCondition descending="1" ref="P34:P40"/>
  </sortState>
  <tableColumns count="6">
    <tableColumn id="1" xr3:uid="{9B883FE2-65DC-43B3-AE61-9A7FA36EAC2A}" name="팀1 결과" dataDxfId="79">
      <calculatedColumnFormula>IF(Q35="","",IF(Q35&gt;R35,"승",IF(Q35=R35,"무",IF(Q35&lt;R35,"패",""))))</calculatedColumnFormula>
    </tableColumn>
    <tableColumn id="2" xr3:uid="{E7AD670B-61F1-4AA5-9455-2B9AB3DCB298}" name="팀1" dataDxfId="78"/>
    <tableColumn id="3" xr3:uid="{33707094-A9C6-44CA-8794-A2D47593042C}" name="팀1 S" dataDxfId="77"/>
    <tableColumn id="4" xr3:uid="{59A3FE7E-876A-4E39-B78E-4C5B91563DBE}" name="팀2 S" dataDxfId="76"/>
    <tableColumn id="5" xr3:uid="{40CFAD1E-0A40-4983-84CF-E27E9CF411FC}" name="팀2" dataDxfId="75"/>
    <tableColumn id="6" xr3:uid="{6C767300-890A-4CEE-8EE6-A83AB533359A}" name="팀2 결과" dataDxfId="74">
      <calculatedColumnFormula>IF(O35="","",IF(O35="무","무",IF(O35="승","패","승")))</calculatedColumnFormula>
    </tableColumn>
  </tableColumns>
  <tableStyleInfo name="TableStyleMedium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EF5B9E1-371F-49B3-B2F1-4796A0DE711F}" name="표2_46810" displayName="표2_46810" ref="V23:AD26" totalsRowShown="0" headerRowDxfId="73" dataDxfId="72">
  <autoFilter ref="V23:AD26" xr:uid="{EEF5B9E1-371F-49B3-B2F1-4796A0DE711F}"/>
  <tableColumns count="9">
    <tableColumn id="1" xr3:uid="{242F2106-8ECB-4C44-A88A-1C774D609F3D}" name="팀" dataDxfId="71"/>
    <tableColumn id="2" xr3:uid="{86772F0C-6E50-4C0D-8144-329F0EDB328F}" name="경기" dataDxfId="70">
      <calculatedColumnFormula>표2_46810[[#This Row],[승]]+표2_46810[[#This Row],[무]]+표2_46810[[#This Row],[패]]</calculatedColumnFormula>
    </tableColumn>
    <tableColumn id="3" xr3:uid="{734A8FF2-C352-41D1-AD7B-FB809CCAE516}" name="승" dataDxfId="69">
      <calculatedColumnFormula>COUNTIFS(챔스A_7911[팀1 결과],X$22,챔스A_7911[팀1],표2_46810[[#This Row],[팀]])+COUNTIFS(챔스A_7911[팀2 결과],X$22,챔스A_7911[팀2],표2_46810[[#This Row],[팀]])</calculatedColumnFormula>
    </tableColumn>
    <tableColumn id="4" xr3:uid="{65C11A88-6CE0-46E7-B9E3-8F514B131964}" name="무" dataDxfId="68">
      <calculatedColumnFormula>COUNTIFS(챔스A_7911[팀1 결과],Y$22,챔스A_7911[팀1],표2_46810[[#This Row],[팀]])+COUNTIFS(챔스A_7911[팀2 결과],Y$22,챔스A_7911[팀2],표2_46810[[#This Row],[팀]])</calculatedColumnFormula>
    </tableColumn>
    <tableColumn id="5" xr3:uid="{39A8E894-9FD9-4E35-B131-98DD425C7243}" name="패" dataDxfId="67">
      <calculatedColumnFormula>COUNTIFS(챔스A_7911[팀1 결과],Z$22,챔스A_7911[팀1],표2_46810[[#This Row],[팀]])+COUNTIFS(챔스A_7911[팀2 결과],Z$22,챔스A_7911[팀2],표2_46810[[#This Row],[팀]])</calculatedColumnFormula>
    </tableColumn>
    <tableColumn id="6" xr3:uid="{5885A0F7-590E-410D-9DD7-458966C5E3CC}" name="득점" dataDxfId="66">
      <calculatedColumnFormula>SUMIF(챔스A_7911[팀1],표2_46810[[#This Row],[팀]],챔스A_7911[팀1 S])+SUMIF(챔스A_7911[팀2],표2_46810[[#This Row],[팀]],챔스A_7911[팀2 S])</calculatedColumnFormula>
    </tableColumn>
    <tableColumn id="7" xr3:uid="{D530D4D9-20E8-4675-8294-6DA57494EAB6}" name="실점" dataDxfId="65">
      <calculatedColumnFormula>SUMIF(챔스A_7911[팀1],표2_46810[[#This Row],[팀]],챔스A_7911[팀2 S])+SUMIF(챔스A_7911[팀2],표2_46810[[#This Row],[팀]],챔스A_7911[팀1 S])</calculatedColumnFormula>
    </tableColumn>
    <tableColumn id="8" xr3:uid="{E39B0713-A41A-48E7-B365-95C31F55B4FC}" name="득실" dataDxfId="64">
      <calculatedColumnFormula>표2_46810[[#This Row],[득점]]-표2_46810[[#This Row],[실점]]</calculatedColumnFormula>
    </tableColumn>
    <tableColumn id="9" xr3:uid="{5A4D45FB-33E5-41BD-840B-2BB6252B15BD}" name="승점점수" dataDxfId="63">
      <calculatedColumnFormula>표2_46810[[#This Row],[승]]*3+표2_46810[[#This Row],[무]]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B05366-4D4C-470F-9D0F-C94A62F78A0D}" name="표2_42" displayName="표2_42" ref="V3:AD6" totalsRowShown="0" headerRowDxfId="62" dataDxfId="61">
  <autoFilter ref="V3:AD6" xr:uid="{2D361B3E-072B-47C0-84A5-DBE13DBAD7D5}"/>
  <tableColumns count="9">
    <tableColumn id="1" xr3:uid="{9C3E4B2B-3482-40FA-9A67-52B3FC230A78}" name="팀" dataDxfId="60"/>
    <tableColumn id="2" xr3:uid="{1DAB277F-F12C-4966-A96A-95A68942D49A}" name="경기" dataDxfId="59">
      <calculatedColumnFormula>표2_42[[#This Row],[승]]+표2_42[[#This Row],[무]]+표2_42[[#This Row],[패]]</calculatedColumnFormula>
    </tableColumn>
    <tableColumn id="3" xr3:uid="{32A88C1D-9558-4405-AA3C-A3B04EC52291}" name="승" dataDxfId="58">
      <calculatedColumnFormula>COUNTIFS(챔스A_8[팀1 결과],X$2,챔스A_8[팀1],표2_42[[#This Row],[팀]])+COUNTIFS(챔스A_8[팀2 결과],X$2,챔스A_8[팀2],표2_42[[#This Row],[팀]])</calculatedColumnFormula>
    </tableColumn>
    <tableColumn id="4" xr3:uid="{0BD90D6C-3F51-46CD-996B-D311CE5B7B03}" name="무" dataDxfId="57">
      <calculatedColumnFormula>COUNTIFS(챔스A_8[팀1 결과],Y$2,챔스A_8[팀1],표2_42[[#This Row],[팀]])+COUNTIFS(챔스A_8[팀2 결과],Y$2,챔스A_8[팀2],표2_42[[#This Row],[팀]])</calculatedColumnFormula>
    </tableColumn>
    <tableColumn id="5" xr3:uid="{760823E4-DFF7-47C1-85B3-696BDB5223DA}" name="패" dataDxfId="56">
      <calculatedColumnFormula>COUNTIFS(챔스A_8[팀1 결과],Z$2,챔스A_8[팀1],표2_42[[#This Row],[팀]])+COUNTIFS(챔스A_8[팀2 결과],Z$2,챔스A_8[팀2],표2_42[[#This Row],[팀]])</calculatedColumnFormula>
    </tableColumn>
    <tableColumn id="6" xr3:uid="{3DAFA2F6-4984-407F-A451-1E726A5FE3AD}" name="득점" dataDxfId="55">
      <calculatedColumnFormula>SUMIF(챔스A_8[팀1],표2_42[[#This Row],[팀]],챔스A_8[팀1 S])+SUMIF(챔스A_8[팀2],표2_42[[#This Row],[팀]],챔스A_8[팀2 S])</calculatedColumnFormula>
    </tableColumn>
    <tableColumn id="7" xr3:uid="{36D59CBB-0C4A-4FED-849B-3E236ED94217}" name="실점" dataDxfId="54">
      <calculatedColumnFormula>SUMIF(챔스A_8[팀1],표2_42[[#This Row],[팀]],챔스A_8[팀2 S])+SUMIF(챔스A_8[팀2],표2_42[[#This Row],[팀]],챔스A_8[팀1 S])</calculatedColumnFormula>
    </tableColumn>
    <tableColumn id="8" xr3:uid="{C8B3C544-CC6E-4FA9-8642-1AFE85A8DA65}" name="득실" dataDxfId="53">
      <calculatedColumnFormula>표2_42[[#This Row],[득점]]-표2_42[[#This Row],[실점]]</calculatedColumnFormula>
    </tableColumn>
    <tableColumn id="9" xr3:uid="{893A0D20-F5C9-4623-9B04-10150FF4B74B}" name="승점점수" dataDxfId="52">
      <calculatedColumnFormula>표2_42[[#This Row],[승]]*3+표2_42[[#This Row],[무]]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15B85FC-09EE-43EB-9DBE-5E9A7AC96596}" name="챔스A_8" displayName="챔스A_8" ref="O3:T9" totalsRowShown="0" headerRowDxfId="51" tableBorderDxfId="50">
  <autoFilter ref="O3:T9" xr:uid="{1E31C581-9F54-40C8-A5E4-AD82E1CFEBA3}"/>
  <sortState xmlns:xlrd2="http://schemas.microsoft.com/office/spreadsheetml/2017/richdata2" ref="O4:T9">
    <sortCondition descending="1" ref="P3:P9"/>
  </sortState>
  <tableColumns count="6">
    <tableColumn id="1" xr3:uid="{D176CF0B-E5DE-4508-8E2A-A649513A9F11}" name="팀1 결과" dataDxfId="49">
      <calculatedColumnFormula>IF(Q4="","",IF(Q4&gt;R4,"승",IF(Q4=R4,"무",IF(Q4&lt;R4,"패",""))))</calculatedColumnFormula>
    </tableColumn>
    <tableColumn id="2" xr3:uid="{2EB31F2F-3B6E-4FBB-A005-484F641450EE}" name="팀1" dataDxfId="48"/>
    <tableColumn id="3" xr3:uid="{272AC486-04A4-4797-8F4A-AB28D5D92238}" name="팀1 S" dataDxfId="47"/>
    <tableColumn id="4" xr3:uid="{D24AF61D-E742-4F2B-8A13-EE3F8BBA0963}" name="팀2 S" dataDxfId="46"/>
    <tableColumn id="5" xr3:uid="{A595BC7A-8C8E-4231-ABA4-A473B88933FF}" name="팀2" dataDxfId="45"/>
    <tableColumn id="6" xr3:uid="{CAAB799E-77BF-408B-9F0B-F7EBFF56F174}" name="팀2 결과" dataDxfId="44">
      <calculatedColumnFormula>IF(O4="","",IF(O4="무","무",IF(O4="승","패","승")))</calculatedColumnFormula>
    </tableColumn>
  </tableColumns>
  <tableStyleInfo name="TableStyleMedium1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1648DC2-87FE-4122-B37F-8B43EC36EAA4}" name="표2_469" displayName="표2_469" ref="V9:AD12" totalsRowShown="0" headerRowDxfId="43" dataDxfId="42">
  <autoFilter ref="V9:AD12" xr:uid="{41733118-E5ED-4284-952D-AC2C5758BE3C}"/>
  <tableColumns count="9">
    <tableColumn id="1" xr3:uid="{11AD497A-76EC-4713-BCCE-9EF35F93553D}" name="팀" dataDxfId="41"/>
    <tableColumn id="2" xr3:uid="{2AF30D98-EA9D-45AD-8E41-B8EA7AFA8406}" name="경기" dataDxfId="40">
      <calculatedColumnFormula>표2_469[[#This Row],[승]]+표2_469[[#This Row],[무]]+표2_469[[#This Row],[패]]</calculatedColumnFormula>
    </tableColumn>
    <tableColumn id="3" xr3:uid="{D7CBD1CB-387E-433D-B469-F59C17B722B5}" name="승" dataDxfId="39">
      <calculatedColumnFormula>COUNTIFS(챔스A_713[팀1 결과],X$8,챔스A_713[팀1],표2_469[[#This Row],[팀]])+COUNTIFS(챔스A_713[팀2 결과],X$8,챔스A_713[팀2],표2_469[[#This Row],[팀]])</calculatedColumnFormula>
    </tableColumn>
    <tableColumn id="4" xr3:uid="{E92EC9E8-3A65-42CB-8485-76597B2E1A5A}" name="무" dataDxfId="38">
      <calculatedColumnFormula>COUNTIFS(챔스A_713[팀1 결과],Y$8,챔스A_713[팀1],표2_469[[#This Row],[팀]])+COUNTIFS(챔스A_713[팀2 결과],Y$8,챔스A_713[팀2],표2_469[[#This Row],[팀]])</calculatedColumnFormula>
    </tableColumn>
    <tableColumn id="5" xr3:uid="{0719756A-3E4D-413C-A174-263F4C9EF33B}" name="패" dataDxfId="37">
      <calculatedColumnFormula>COUNTIFS(챔스A_713[팀1 결과],Z$8,챔스A_713[팀1],표2_469[[#This Row],[팀]])+COUNTIFS(챔스A_713[팀2 결과],Z$8,챔스A_713[팀2],표2_469[[#This Row],[팀]])</calculatedColumnFormula>
    </tableColumn>
    <tableColumn id="6" xr3:uid="{98A05A72-2900-4C03-A0E5-D26FC161B9EF}" name="득점" dataDxfId="36">
      <calculatedColumnFormula>SUMIF(챔스A_713[팀1],표2_469[[#This Row],[팀]],챔스A_713[팀1 S])+SUMIF(챔스A_713[팀2],표2_469[[#This Row],[팀]],챔스A_713[팀2 S])</calculatedColumnFormula>
    </tableColumn>
    <tableColumn id="7" xr3:uid="{B27FA31D-1877-4054-A032-8A07878D4BB5}" name="실점" dataDxfId="35">
      <calculatedColumnFormula>SUMIF(챔스A_713[팀1],표2_469[[#This Row],[팀]],챔스A_713[팀2 S])+SUMIF(챔스A_713[팀2],표2_469[[#This Row],[팀]],챔스A_713[팀1 S])</calculatedColumnFormula>
    </tableColumn>
    <tableColumn id="8" xr3:uid="{6396B48D-0DE0-4C55-B612-9AA7C4ADB614}" name="득실" dataDxfId="34">
      <calculatedColumnFormula>표2_469[[#This Row],[득점]]-표2_469[[#This Row],[실점]]</calculatedColumnFormula>
    </tableColumn>
    <tableColumn id="9" xr3:uid="{7305F263-C626-4DBF-9104-E6EDAA065029}" name="승점점수" dataDxfId="33">
      <calculatedColumnFormula>표2_469[[#This Row],[승]]*3+표2_469[[#This Row],[무]]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2A4906B-E628-44B3-8D22-19EC24272FA8}" name="챔스A_713" displayName="챔스A_713" ref="O12:T18" totalsRowShown="0" headerRowDxfId="32" tableBorderDxfId="31">
  <autoFilter ref="O12:T18" xr:uid="{14BC9482-DBE4-4095-96E8-BA7DDDD128DA}"/>
  <sortState xmlns:xlrd2="http://schemas.microsoft.com/office/spreadsheetml/2017/richdata2" ref="O13:T18">
    <sortCondition descending="1" ref="P12:P18"/>
  </sortState>
  <tableColumns count="6">
    <tableColumn id="1" xr3:uid="{EA26E598-471A-442E-9A0A-8E1E30DAC9BA}" name="팀1 결과" dataDxfId="30">
      <calculatedColumnFormula>IF(Q13="","",IF(Q13&gt;R13,"승",IF(Q13=R13,"무",IF(Q13&lt;R13,"패",""))))</calculatedColumnFormula>
    </tableColumn>
    <tableColumn id="2" xr3:uid="{E9CE1A1D-9FC4-4956-9EE4-C893281C42A0}" name="팀1" dataDxfId="29"/>
    <tableColumn id="3" xr3:uid="{AFD9CCFD-AF7D-48A6-8F47-F3E87129CDB9}" name="팀1 S" dataDxfId="28"/>
    <tableColumn id="4" xr3:uid="{572BC748-F198-467E-9AAC-DA9D18DB348B}" name="팀2 S" dataDxfId="27"/>
    <tableColumn id="5" xr3:uid="{1C4D08C6-0344-4D50-AAE0-5790EC2180F1}" name="팀2" dataDxfId="26"/>
    <tableColumn id="6" xr3:uid="{C7888F5B-E67A-41B1-AAE1-F10434D20B6A}" name="팀2 결과" dataDxfId="25">
      <calculatedColumnFormula>IF(O13="","",IF(O13="무","무",IF(O13="승","패","승")))</calculatedColumnFormula>
    </tableColumn>
  </tableColumns>
  <tableStyleInfo name="TableStyleMedium16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3AF312A-6D86-41E0-9334-601CEE4CAD00}" name="표2_468101519" displayName="표2_468101519" ref="V15:AD18" totalsRowShown="0" headerRowDxfId="24" dataDxfId="23">
  <autoFilter ref="V15:AD18" xr:uid="{66B1AEB5-7069-464E-94E1-67A6F0830AF4}"/>
  <tableColumns count="9">
    <tableColumn id="1" xr3:uid="{B7D31356-BA08-4C73-A9AD-C68BE0CA6D8D}" name="팀" dataDxfId="22"/>
    <tableColumn id="2" xr3:uid="{FDD31C21-17C0-47F9-A58F-2FB4692BE492}" name="경기" dataDxfId="21">
      <calculatedColumnFormula>표2_468101519[[#This Row],[승]]+표2_468101519[[#This Row],[무]]+표2_468101519[[#This Row],[패]]</calculatedColumnFormula>
    </tableColumn>
    <tableColumn id="3" xr3:uid="{D78F4067-D169-4AF9-BA13-0F8D03BC9392}" name="승" dataDxfId="20">
      <calculatedColumnFormula>COUNTIFS(챔스A_79111820[팀1 결과],X$14,챔스A_79111820[팀1],표2_468101519[[#This Row],[팀]])+COUNTIFS(챔스A_79111820[팀2 결과],X$14,챔스A_79111820[팀2],표2_468101519[[#This Row],[팀]])</calculatedColumnFormula>
    </tableColumn>
    <tableColumn id="4" xr3:uid="{5FBDB5B2-C36C-4011-AC00-28D5A3AB0F88}" name="무" dataDxfId="19">
      <calculatedColumnFormula>COUNTIFS(챔스A_79111820[팀1 결과],Y$14,챔스A_79111820[팀1],표2_468101519[[#This Row],[팀]])+COUNTIFS(챔스A_79111820[팀2 결과],Y$14,챔스A_79111820[팀2],표2_468101519[[#This Row],[팀]])</calculatedColumnFormula>
    </tableColumn>
    <tableColumn id="5" xr3:uid="{8395EC9F-7712-487F-8246-0F18A01033DD}" name="패" dataDxfId="18">
      <calculatedColumnFormula>COUNTIFS(챔스A_79111820[팀1 결과],Z$14,챔스A_79111820[팀1],표2_468101519[[#This Row],[팀]])+COUNTIFS(챔스A_79111820[팀2 결과],Z$14,챔스A_79111820[팀2],표2_468101519[[#This Row],[팀]])</calculatedColumnFormula>
    </tableColumn>
    <tableColumn id="6" xr3:uid="{7DBC7030-33BA-497D-814E-88720285AFF7}" name="득점" dataDxfId="17">
      <calculatedColumnFormula>SUMIF(챔스A_79111820[팀1],표2_468101519[[#This Row],[팀]],챔스A_79111820[팀1 S])+SUMIF(챔스A_79111820[팀2],표2_468101519[[#This Row],[팀]],챔스A_79111820[팀2 S])</calculatedColumnFormula>
    </tableColumn>
    <tableColumn id="7" xr3:uid="{8D16FD28-BB0A-4C6A-85F8-783DE2231218}" name="실점" dataDxfId="16">
      <calculatedColumnFormula>SUMIF(챔스A_79111820[팀1],표2_468101519[[#This Row],[팀]],챔스A_79111820[팀2 S])+SUMIF(챔스A_79111820[팀2],표2_468101519[[#This Row],[팀]],챔스A_79111820[팀1 S])</calculatedColumnFormula>
    </tableColumn>
    <tableColumn id="8" xr3:uid="{8D9E5D89-C72D-4927-B9BA-09DFAB584F04}" name="득실" dataDxfId="15">
      <calculatedColumnFormula>표2_468101519[[#This Row],[득점]]-표2_468101519[[#This Row],[실점]]</calculatedColumnFormula>
    </tableColumn>
    <tableColumn id="9" xr3:uid="{47818D78-B5F0-4C95-A789-F41A94F79CCD}" name="승점점수" dataDxfId="14">
      <calculatedColumnFormula>표2_468101519[[#This Row],[승]]*3+표2_468101519[[#This Row],[무]]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5BAFD06-ECE4-4426-9DB3-103880F5B4B8}" name="챔스A_79111820" displayName="챔스A_79111820" ref="O21:T27" totalsRowShown="0" headerRowDxfId="13" tableBorderDxfId="12">
  <autoFilter ref="O21:T27" xr:uid="{4DF6FD3A-0CF2-4260-A770-F50CD9F6A1BD}"/>
  <sortState xmlns:xlrd2="http://schemas.microsoft.com/office/spreadsheetml/2017/richdata2" ref="O22:T27">
    <sortCondition descending="1" ref="P21:P27"/>
  </sortState>
  <tableColumns count="6">
    <tableColumn id="1" xr3:uid="{4A6B4E7E-20BF-4E9D-B692-1138CDE7FAB0}" name="팀1 결과" dataDxfId="11">
      <calculatedColumnFormula>IF(Q22="","",IF(Q22&gt;R22,"승",IF(Q22=R22,"무",IF(Q22&lt;R22,"패",""))))</calculatedColumnFormula>
    </tableColumn>
    <tableColumn id="2" xr3:uid="{13711211-D20F-470F-9A2B-31BF29D32694}" name="팀1" dataDxfId="10"/>
    <tableColumn id="3" xr3:uid="{8D117C39-D921-4A9C-9A2F-FB925921D2A1}" name="팀1 S" dataDxfId="9"/>
    <tableColumn id="4" xr3:uid="{49EE0594-2664-42FD-AE05-7C6AE6E86123}" name="팀2 S" dataDxfId="8"/>
    <tableColumn id="5" xr3:uid="{3FC1A0A8-275C-41A6-ACE7-FD84E0485096}" name="팀2" dataDxfId="7"/>
    <tableColumn id="6" xr3:uid="{23EB5621-EDC8-4560-83E6-9E7C4FA4F94E}" name="팀2 결과" dataDxfId="6">
      <calculatedColumnFormula>IF(O22="","",IF(O22="무","무",IF(O22="승","패","승")))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3A045-54AA-42B6-9713-E3D5B1C69C41}">
  <dimension ref="A1:BB38"/>
  <sheetViews>
    <sheetView zoomScale="160" zoomScaleNormal="160" workbookViewId="0">
      <selection activeCell="G19" sqref="G19"/>
    </sheetView>
  </sheetViews>
  <sheetFormatPr defaultRowHeight="15.7" x14ac:dyDescent="0.3"/>
  <cols>
    <col min="1" max="1" width="53.375" customWidth="1"/>
    <col min="2" max="2" width="15.75" customWidth="1"/>
    <col min="3" max="3" width="14.375" customWidth="1"/>
    <col min="4" max="4" width="1.625" customWidth="1"/>
    <col min="5" max="5" width="16.625" customWidth="1"/>
    <col min="9" max="9" width="1.625" customWidth="1"/>
    <col min="10" max="10" width="25.75" customWidth="1"/>
  </cols>
  <sheetData>
    <row r="1" spans="1:54" ht="16.399999999999999" thickBot="1" x14ac:dyDescent="0.35">
      <c r="A1" s="168"/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</row>
    <row r="2" spans="1:54" s="8" customFormat="1" ht="34.25" customHeight="1" thickBot="1" x14ac:dyDescent="0.35">
      <c r="A2" s="170"/>
      <c r="B2" s="195" t="s">
        <v>56</v>
      </c>
      <c r="C2" s="196"/>
      <c r="D2" s="171"/>
      <c r="E2" s="190" t="s">
        <v>0</v>
      </c>
      <c r="F2" s="191"/>
      <c r="G2" s="191"/>
      <c r="H2" s="192"/>
      <c r="I2" s="170"/>
      <c r="J2" s="193" t="s">
        <v>6</v>
      </c>
      <c r="K2" s="194"/>
      <c r="L2" s="168"/>
      <c r="M2" s="168"/>
      <c r="N2" s="168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0"/>
      <c r="AU2" s="170"/>
      <c r="AV2" s="170"/>
      <c r="AW2" s="170"/>
      <c r="AX2" s="170"/>
      <c r="AY2" s="170"/>
      <c r="AZ2" s="170"/>
      <c r="BA2" s="170"/>
      <c r="BB2" s="170"/>
    </row>
    <row r="3" spans="1:54" ht="16.399999999999999" thickBot="1" x14ac:dyDescent="0.35">
      <c r="A3" s="168"/>
      <c r="B3" s="168"/>
      <c r="C3" s="168"/>
      <c r="D3" s="168"/>
      <c r="E3" s="168"/>
      <c r="F3" s="168"/>
      <c r="G3" s="168"/>
      <c r="H3" s="168"/>
      <c r="I3" s="168"/>
      <c r="J3" s="169"/>
      <c r="K3" s="169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8"/>
      <c r="AP3" s="168"/>
      <c r="AQ3" s="168"/>
      <c r="AR3" s="168"/>
      <c r="AS3" s="168"/>
      <c r="AT3" s="168"/>
      <c r="AU3" s="168"/>
      <c r="AV3" s="168"/>
      <c r="AW3" s="168"/>
      <c r="AX3" s="168"/>
      <c r="AY3" s="168"/>
      <c r="AZ3" s="168"/>
      <c r="BA3" s="168"/>
      <c r="BB3" s="168"/>
    </row>
    <row r="4" spans="1:54" ht="21.95" customHeight="1" thickBot="1" x14ac:dyDescent="0.35">
      <c r="A4" s="168"/>
      <c r="B4" s="3" t="s">
        <v>5</v>
      </c>
      <c r="C4" s="5" t="s">
        <v>67</v>
      </c>
      <c r="D4" s="168"/>
      <c r="E4" s="3" t="s">
        <v>57</v>
      </c>
      <c r="F4" s="5" t="s">
        <v>7</v>
      </c>
      <c r="G4" s="2" t="s">
        <v>8</v>
      </c>
      <c r="H4" s="168"/>
      <c r="I4" s="168"/>
      <c r="J4" s="197"/>
      <c r="K4" s="197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168"/>
      <c r="BB4" s="168"/>
    </row>
    <row r="5" spans="1:54" ht="29.25" customHeight="1" x14ac:dyDescent="0.3">
      <c r="A5" s="168"/>
      <c r="B5" s="72" t="s">
        <v>68</v>
      </c>
      <c r="C5" s="73" t="str">
        <f>'1부리그'!Q11</f>
        <v>미진행</v>
      </c>
      <c r="D5" s="168"/>
      <c r="E5" s="131" t="s">
        <v>53</v>
      </c>
      <c r="F5" s="132" t="str">
        <f>월드컵!T35</f>
        <v>패</v>
      </c>
      <c r="G5" s="133" t="str">
        <f>월드컵!T36</f>
        <v>패</v>
      </c>
      <c r="H5" s="168"/>
      <c r="I5" s="168"/>
      <c r="J5" s="179" t="s">
        <v>69</v>
      </c>
      <c r="K5" s="180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8"/>
      <c r="AC5" s="168"/>
      <c r="AD5" s="168"/>
      <c r="AE5" s="168"/>
      <c r="AF5" s="168"/>
      <c r="AG5" s="168"/>
      <c r="AH5" s="168"/>
      <c r="AI5" s="168"/>
      <c r="AJ5" s="168"/>
      <c r="AK5" s="168"/>
      <c r="AL5" s="168"/>
      <c r="AM5" s="168"/>
      <c r="AN5" s="168"/>
      <c r="AO5" s="168"/>
      <c r="AP5" s="168"/>
      <c r="AQ5" s="168"/>
      <c r="AR5" s="168"/>
      <c r="AS5" s="168"/>
      <c r="AT5" s="168"/>
      <c r="AU5" s="168"/>
      <c r="AV5" s="168"/>
      <c r="AW5" s="168"/>
      <c r="AX5" s="168"/>
      <c r="AY5" s="168"/>
      <c r="AZ5" s="168"/>
      <c r="BA5" s="168"/>
      <c r="BB5" s="168"/>
    </row>
    <row r="6" spans="1:54" ht="29.25" customHeight="1" thickBot="1" x14ac:dyDescent="0.35">
      <c r="A6" s="168"/>
      <c r="B6" s="118" t="s">
        <v>68</v>
      </c>
      <c r="C6" s="119" t="str">
        <f>'1부리그'!Q12</f>
        <v>미진행</v>
      </c>
      <c r="D6" s="168"/>
      <c r="E6" s="172" t="s">
        <v>13</v>
      </c>
      <c r="F6" s="173" t="str">
        <f>월드컵!O39</f>
        <v>승</v>
      </c>
      <c r="G6" s="174" t="str">
        <f>월드컵!O40</f>
        <v>승</v>
      </c>
      <c r="H6" s="168"/>
      <c r="I6" s="168"/>
      <c r="J6" s="125" t="s">
        <v>60</v>
      </c>
      <c r="K6" s="126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8"/>
      <c r="AE6" s="168"/>
      <c r="AF6" s="168"/>
      <c r="AG6" s="168"/>
      <c r="AH6" s="168"/>
      <c r="AI6" s="168"/>
      <c r="AJ6" s="168"/>
      <c r="AK6" s="168"/>
      <c r="AL6" s="168"/>
      <c r="AM6" s="168"/>
      <c r="AN6" s="168"/>
      <c r="AO6" s="168"/>
      <c r="AP6" s="168"/>
      <c r="AQ6" s="168"/>
      <c r="AR6" s="168"/>
      <c r="AS6" s="168"/>
      <c r="AT6" s="168"/>
      <c r="AU6" s="168"/>
      <c r="AV6" s="168"/>
      <c r="AW6" s="168"/>
      <c r="AX6" s="168"/>
      <c r="AY6" s="168"/>
      <c r="AZ6" s="168"/>
      <c r="BA6" s="168"/>
      <c r="BB6" s="168"/>
    </row>
    <row r="7" spans="1:54" ht="29.25" customHeight="1" x14ac:dyDescent="0.3">
      <c r="A7" s="168"/>
      <c r="B7" s="175" t="s">
        <v>43</v>
      </c>
      <c r="C7" s="176" t="str">
        <f>'1부리그'!Q13</f>
        <v>미진행</v>
      </c>
      <c r="D7" s="168"/>
      <c r="E7" s="165" t="s">
        <v>60</v>
      </c>
      <c r="F7" s="166"/>
      <c r="G7" s="167"/>
      <c r="H7" s="168"/>
      <c r="I7" s="168"/>
      <c r="J7" s="125" t="s">
        <v>59</v>
      </c>
      <c r="K7" s="126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68"/>
      <c r="AC7" s="168"/>
      <c r="AD7" s="168"/>
      <c r="AE7" s="168"/>
      <c r="AF7" s="168"/>
      <c r="AG7" s="168"/>
      <c r="AH7" s="168"/>
      <c r="AI7" s="168"/>
      <c r="AJ7" s="168"/>
      <c r="AK7" s="168"/>
      <c r="AL7" s="168"/>
      <c r="AM7" s="168"/>
      <c r="AN7" s="168"/>
      <c r="AO7" s="168"/>
      <c r="AP7" s="168"/>
      <c r="AQ7" s="168"/>
      <c r="AR7" s="168"/>
      <c r="AS7" s="168"/>
      <c r="AT7" s="168"/>
      <c r="AU7" s="168"/>
      <c r="AV7" s="168"/>
      <c r="AW7" s="168"/>
      <c r="AX7" s="168"/>
      <c r="AY7" s="168"/>
      <c r="AZ7" s="168"/>
      <c r="BA7" s="168"/>
      <c r="BB7" s="168"/>
    </row>
    <row r="8" spans="1:54" ht="29.25" customHeight="1" thickBot="1" x14ac:dyDescent="0.35">
      <c r="A8" s="168"/>
      <c r="B8" s="177" t="s">
        <v>43</v>
      </c>
      <c r="C8" s="178" t="str">
        <f>'1부리그'!Q14</f>
        <v>미진행</v>
      </c>
      <c r="D8" s="168"/>
      <c r="E8" s="146" t="s">
        <v>59</v>
      </c>
      <c r="F8" s="147"/>
      <c r="G8" s="148"/>
      <c r="H8" s="168"/>
      <c r="I8" s="168"/>
      <c r="J8" s="123" t="s">
        <v>58</v>
      </c>
      <c r="K8" s="124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8"/>
      <c r="AZ8" s="168"/>
      <c r="BA8" s="168"/>
      <c r="BB8" s="168"/>
    </row>
    <row r="9" spans="1:54" ht="29.25" customHeight="1" thickBot="1" x14ac:dyDescent="0.35">
      <c r="A9" s="168"/>
      <c r="B9" s="72" t="s">
        <v>44</v>
      </c>
      <c r="C9" s="115" t="str">
        <f>'1부리그'!Q15</f>
        <v>미진행</v>
      </c>
      <c r="D9" s="168"/>
      <c r="E9" s="134" t="s">
        <v>58</v>
      </c>
      <c r="F9" s="135"/>
      <c r="G9" s="136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68"/>
      <c r="AW9" s="168"/>
      <c r="AX9" s="168"/>
      <c r="AY9" s="168"/>
      <c r="AZ9" s="168"/>
      <c r="BA9" s="168"/>
      <c r="BB9" s="168"/>
    </row>
    <row r="10" spans="1:54" ht="29.25" customHeight="1" x14ac:dyDescent="0.3">
      <c r="A10" s="168"/>
      <c r="B10" s="118" t="s">
        <v>44</v>
      </c>
      <c r="C10" s="119" t="str">
        <f>'1부리그'!Q16</f>
        <v>미진행</v>
      </c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8"/>
      <c r="AK10" s="168"/>
      <c r="AL10" s="168"/>
      <c r="AM10" s="168"/>
      <c r="AN10" s="168"/>
      <c r="AO10" s="168"/>
      <c r="AP10" s="168"/>
      <c r="AQ10" s="168"/>
      <c r="AR10" s="168"/>
      <c r="AS10" s="168"/>
      <c r="AT10" s="168"/>
      <c r="AU10" s="168"/>
      <c r="AV10" s="168"/>
      <c r="AW10" s="168"/>
      <c r="AX10" s="168"/>
      <c r="AY10" s="168"/>
      <c r="AZ10" s="168"/>
      <c r="BA10" s="168"/>
      <c r="BB10" s="168"/>
    </row>
    <row r="11" spans="1:54" ht="29.25" customHeight="1" x14ac:dyDescent="0.3">
      <c r="A11" s="168"/>
      <c r="B11" s="120" t="s">
        <v>50</v>
      </c>
      <c r="C11" s="122" t="str">
        <f>'1부리그'!Q17</f>
        <v>미진행</v>
      </c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K11" s="168"/>
      <c r="AL11" s="168"/>
      <c r="AM11" s="168"/>
      <c r="AN11" s="168"/>
      <c r="AO11" s="168"/>
      <c r="AP11" s="168"/>
      <c r="AQ11" s="168"/>
      <c r="AR11" s="168"/>
      <c r="AS11" s="168"/>
      <c r="AT11" s="168"/>
      <c r="AU11" s="168"/>
      <c r="AV11" s="168"/>
      <c r="AW11" s="168"/>
      <c r="AX11" s="168"/>
      <c r="AY11" s="168"/>
      <c r="AZ11" s="168"/>
      <c r="BA11" s="168"/>
      <c r="BB11" s="168"/>
    </row>
    <row r="12" spans="1:54" ht="29.25" customHeight="1" x14ac:dyDescent="0.3">
      <c r="A12" s="168"/>
      <c r="B12" s="116" t="s">
        <v>50</v>
      </c>
      <c r="C12" s="117" t="str">
        <f>'1부리그'!Q18</f>
        <v>미진행</v>
      </c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8"/>
      <c r="AJ12" s="168"/>
      <c r="AK12" s="168"/>
      <c r="AL12" s="168"/>
      <c r="AM12" s="168"/>
      <c r="AN12" s="168"/>
      <c r="AO12" s="168"/>
      <c r="AP12" s="168"/>
      <c r="AQ12" s="168"/>
      <c r="AR12" s="168"/>
      <c r="AS12" s="168"/>
      <c r="AT12" s="168"/>
      <c r="AU12" s="168"/>
      <c r="AV12" s="168"/>
      <c r="AW12" s="168"/>
      <c r="AX12" s="168"/>
      <c r="AY12" s="168"/>
      <c r="AZ12" s="168"/>
      <c r="BA12" s="168"/>
      <c r="BB12" s="168"/>
    </row>
    <row r="13" spans="1:54" ht="29.25" customHeight="1" x14ac:dyDescent="0.3">
      <c r="A13" s="168"/>
      <c r="B13" s="72" t="s">
        <v>12</v>
      </c>
      <c r="C13" s="6" t="str">
        <f>'1부리그'!Q19</f>
        <v>미진행</v>
      </c>
      <c r="D13" s="168"/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  <c r="AA13" s="168"/>
      <c r="AB13" s="168"/>
      <c r="AC13" s="168"/>
      <c r="AD13" s="168"/>
      <c r="AE13" s="168"/>
      <c r="AF13" s="168"/>
      <c r="AG13" s="168"/>
      <c r="AH13" s="168"/>
      <c r="AI13" s="168"/>
      <c r="AJ13" s="168"/>
      <c r="AK13" s="168"/>
      <c r="AL13" s="168"/>
      <c r="AM13" s="168"/>
      <c r="AN13" s="168"/>
      <c r="AO13" s="168"/>
      <c r="AP13" s="168"/>
      <c r="AQ13" s="168"/>
      <c r="AR13" s="168"/>
      <c r="AS13" s="168"/>
      <c r="AT13" s="168"/>
      <c r="AU13" s="168"/>
      <c r="AV13" s="168"/>
      <c r="AW13" s="168"/>
      <c r="AX13" s="168"/>
      <c r="AY13" s="168"/>
      <c r="AZ13" s="168"/>
      <c r="BA13" s="168"/>
      <c r="BB13" s="168"/>
    </row>
    <row r="14" spans="1:54" ht="29.25" customHeight="1" thickBot="1" x14ac:dyDescent="0.35">
      <c r="A14" s="168"/>
      <c r="B14" s="4" t="s">
        <v>12</v>
      </c>
      <c r="C14" s="27" t="str">
        <f>'1부리그'!Q20</f>
        <v>미진행</v>
      </c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  <c r="AA14" s="168"/>
      <c r="AB14" s="168"/>
      <c r="AC14" s="168"/>
      <c r="AD14" s="168"/>
      <c r="AE14" s="168"/>
      <c r="AF14" s="168"/>
      <c r="AG14" s="168"/>
      <c r="AH14" s="168"/>
      <c r="AI14" s="168"/>
      <c r="AJ14" s="168"/>
      <c r="AK14" s="168"/>
      <c r="AL14" s="168"/>
      <c r="AM14" s="168"/>
      <c r="AN14" s="168"/>
      <c r="AO14" s="168"/>
      <c r="AP14" s="168"/>
      <c r="AQ14" s="168"/>
      <c r="AR14" s="168"/>
      <c r="AS14" s="168"/>
      <c r="AT14" s="168"/>
      <c r="AU14" s="168"/>
      <c r="AV14" s="168"/>
      <c r="AW14" s="168"/>
      <c r="AX14" s="168"/>
      <c r="AY14" s="168"/>
      <c r="AZ14" s="168"/>
      <c r="BA14" s="168"/>
      <c r="BB14" s="168"/>
    </row>
    <row r="15" spans="1:54" ht="21.95" customHeight="1" x14ac:dyDescent="0.3">
      <c r="A15" s="168"/>
      <c r="B15" s="168"/>
      <c r="C15" s="169"/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  <c r="AR15" s="168"/>
      <c r="AS15" s="168"/>
      <c r="AT15" s="168"/>
      <c r="AU15" s="168"/>
      <c r="AV15" s="168"/>
      <c r="AW15" s="168"/>
      <c r="AX15" s="168"/>
      <c r="AY15" s="168"/>
      <c r="AZ15" s="168"/>
      <c r="BA15" s="168"/>
      <c r="BB15" s="168"/>
    </row>
    <row r="16" spans="1:54" x14ac:dyDescent="0.3">
      <c r="A16" s="168"/>
      <c r="B16" s="168"/>
      <c r="C16" s="169"/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8"/>
      <c r="AR16" s="168"/>
      <c r="AS16" s="168"/>
      <c r="AT16" s="168"/>
      <c r="AU16" s="168"/>
      <c r="AV16" s="168"/>
      <c r="AW16" s="168"/>
      <c r="AX16" s="168"/>
      <c r="AY16" s="168"/>
      <c r="AZ16" s="168"/>
      <c r="BA16" s="168"/>
      <c r="BB16" s="168"/>
    </row>
    <row r="17" spans="1:54" x14ac:dyDescent="0.3">
      <c r="A17" s="168"/>
      <c r="B17" s="168"/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8"/>
      <c r="AK17" s="168"/>
      <c r="AL17" s="168"/>
      <c r="AM17" s="168"/>
      <c r="AN17" s="168"/>
      <c r="AO17" s="168"/>
      <c r="AP17" s="168"/>
      <c r="AQ17" s="168"/>
      <c r="AR17" s="168"/>
      <c r="AS17" s="168"/>
      <c r="AT17" s="168"/>
      <c r="AU17" s="168"/>
      <c r="AV17" s="168"/>
      <c r="AW17" s="168"/>
      <c r="AX17" s="168"/>
      <c r="AY17" s="168"/>
      <c r="AZ17" s="168"/>
      <c r="BA17" s="168"/>
      <c r="BB17" s="168"/>
    </row>
    <row r="18" spans="1:54" x14ac:dyDescent="0.3">
      <c r="A18" s="168"/>
      <c r="B18" s="168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K18" s="168"/>
      <c r="AL18" s="168"/>
      <c r="AM18" s="168"/>
      <c r="AN18" s="168"/>
      <c r="AO18" s="168"/>
      <c r="AP18" s="168"/>
      <c r="AQ18" s="168"/>
      <c r="AR18" s="168"/>
      <c r="AS18" s="168"/>
      <c r="AT18" s="168"/>
      <c r="AU18" s="168"/>
      <c r="AV18" s="168"/>
      <c r="AW18" s="168"/>
      <c r="AX18" s="168"/>
      <c r="AY18" s="168"/>
      <c r="AZ18" s="168"/>
      <c r="BA18" s="168"/>
      <c r="BB18" s="168"/>
    </row>
    <row r="19" spans="1:54" x14ac:dyDescent="0.3">
      <c r="A19" s="168"/>
      <c r="B19" s="168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K19" s="168"/>
      <c r="AL19" s="168"/>
      <c r="AM19" s="168"/>
      <c r="AN19" s="168"/>
      <c r="AO19" s="168"/>
      <c r="AP19" s="168"/>
      <c r="AQ19" s="168"/>
      <c r="AR19" s="168"/>
      <c r="AS19" s="168"/>
      <c r="AT19" s="168"/>
      <c r="AU19" s="168"/>
      <c r="AV19" s="168"/>
      <c r="AW19" s="168"/>
      <c r="AX19" s="168"/>
      <c r="AY19" s="168"/>
      <c r="AZ19" s="168"/>
      <c r="BA19" s="168"/>
      <c r="BB19" s="168"/>
    </row>
    <row r="20" spans="1:54" x14ac:dyDescent="0.3">
      <c r="A20" s="168"/>
      <c r="B20" s="168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  <c r="AO20" s="168"/>
      <c r="AP20" s="168"/>
      <c r="AQ20" s="168"/>
      <c r="AR20" s="168"/>
      <c r="AS20" s="168"/>
      <c r="AT20" s="168"/>
      <c r="AU20" s="168"/>
      <c r="AV20" s="168"/>
      <c r="AW20" s="168"/>
      <c r="AX20" s="168"/>
      <c r="AY20" s="168"/>
      <c r="AZ20" s="168"/>
      <c r="BA20" s="168"/>
      <c r="BB20" s="168"/>
    </row>
    <row r="21" spans="1:54" x14ac:dyDescent="0.3">
      <c r="A21" s="168"/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K21" s="168"/>
      <c r="AL21" s="168"/>
      <c r="AM21" s="168"/>
      <c r="AN21" s="168"/>
      <c r="AO21" s="168"/>
      <c r="AP21" s="168"/>
      <c r="AQ21" s="168"/>
      <c r="AR21" s="168"/>
      <c r="AS21" s="168"/>
      <c r="AT21" s="168"/>
      <c r="AU21" s="168"/>
      <c r="AV21" s="168"/>
      <c r="AW21" s="168"/>
      <c r="AX21" s="168"/>
      <c r="AY21" s="168"/>
      <c r="AZ21" s="168"/>
      <c r="BA21" s="168"/>
      <c r="BB21" s="168"/>
    </row>
    <row r="22" spans="1:54" x14ac:dyDescent="0.3">
      <c r="A22" s="168"/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  <c r="AJ22" s="168"/>
      <c r="AK22" s="168"/>
      <c r="AL22" s="168"/>
      <c r="AM22" s="168"/>
      <c r="AN22" s="168"/>
      <c r="AO22" s="168"/>
      <c r="AP22" s="168"/>
      <c r="AQ22" s="168"/>
      <c r="AR22" s="168"/>
      <c r="AS22" s="168"/>
      <c r="AT22" s="168"/>
      <c r="AU22" s="168"/>
      <c r="AV22" s="168"/>
      <c r="AW22" s="168"/>
      <c r="AX22" s="168"/>
      <c r="AY22" s="168"/>
      <c r="AZ22" s="168"/>
      <c r="BA22" s="168"/>
      <c r="BB22" s="168"/>
    </row>
    <row r="23" spans="1:54" x14ac:dyDescent="0.3">
      <c r="A23" s="168"/>
      <c r="B23" s="168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K23" s="168"/>
      <c r="AL23" s="168"/>
      <c r="AM23" s="168"/>
      <c r="AN23" s="168"/>
      <c r="AO23" s="168"/>
      <c r="AP23" s="168"/>
      <c r="AQ23" s="168"/>
      <c r="AR23" s="168"/>
      <c r="AS23" s="168"/>
      <c r="AT23" s="168"/>
      <c r="AU23" s="168"/>
      <c r="AV23" s="168"/>
      <c r="AW23" s="168"/>
      <c r="AX23" s="168"/>
      <c r="AY23" s="168"/>
      <c r="AZ23" s="168"/>
      <c r="BA23" s="168"/>
      <c r="BB23" s="168"/>
    </row>
    <row r="24" spans="1:54" x14ac:dyDescent="0.3">
      <c r="A24" s="168"/>
      <c r="B24" s="168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K24" s="168"/>
      <c r="AL24" s="168"/>
      <c r="AM24" s="168"/>
      <c r="AN24" s="168"/>
      <c r="AO24" s="168"/>
      <c r="AP24" s="168"/>
      <c r="AQ24" s="168"/>
      <c r="AR24" s="168"/>
      <c r="AS24" s="168"/>
      <c r="AT24" s="168"/>
      <c r="AU24" s="168"/>
      <c r="AV24" s="168"/>
      <c r="AW24" s="168"/>
      <c r="AX24" s="168"/>
      <c r="AY24" s="168"/>
      <c r="AZ24" s="168"/>
      <c r="BA24" s="168"/>
      <c r="BB24" s="168"/>
    </row>
    <row r="25" spans="1:54" x14ac:dyDescent="0.3">
      <c r="A25" s="168"/>
      <c r="B25" s="168"/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  <c r="AA25" s="168"/>
      <c r="AB25" s="168"/>
      <c r="AC25" s="168"/>
      <c r="AD25" s="168"/>
      <c r="AE25" s="168"/>
      <c r="AF25" s="168"/>
      <c r="AG25" s="168"/>
      <c r="AH25" s="168"/>
      <c r="AI25" s="168"/>
      <c r="AJ25" s="168"/>
      <c r="AK25" s="168"/>
      <c r="AL25" s="168"/>
      <c r="AM25" s="168"/>
      <c r="AN25" s="168"/>
      <c r="AO25" s="168"/>
      <c r="AP25" s="168"/>
      <c r="AQ25" s="168"/>
      <c r="AR25" s="168"/>
      <c r="AS25" s="168"/>
      <c r="AT25" s="168"/>
      <c r="AU25" s="168"/>
      <c r="AV25" s="168"/>
      <c r="AW25" s="168"/>
      <c r="AX25" s="168"/>
      <c r="AY25" s="168"/>
      <c r="AZ25" s="168"/>
      <c r="BA25" s="168"/>
      <c r="BB25" s="168"/>
    </row>
    <row r="26" spans="1:54" x14ac:dyDescent="0.3">
      <c r="A26" s="168"/>
      <c r="B26" s="168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  <c r="AA26" s="168"/>
      <c r="AB26" s="168"/>
      <c r="AC26" s="168"/>
      <c r="AD26" s="168"/>
      <c r="AE26" s="168"/>
      <c r="AF26" s="168"/>
      <c r="AG26" s="168"/>
      <c r="AH26" s="168"/>
      <c r="AI26" s="168"/>
      <c r="AJ26" s="168"/>
      <c r="AK26" s="168"/>
      <c r="AL26" s="168"/>
      <c r="AM26" s="168"/>
      <c r="AN26" s="168"/>
      <c r="AO26" s="168"/>
      <c r="AP26" s="168"/>
      <c r="AQ26" s="168"/>
      <c r="AR26" s="168"/>
      <c r="AS26" s="168"/>
      <c r="AT26" s="168"/>
      <c r="AU26" s="168"/>
      <c r="AV26" s="168"/>
      <c r="AW26" s="168"/>
      <c r="AX26" s="168"/>
      <c r="AY26" s="168"/>
      <c r="AZ26" s="168"/>
      <c r="BA26" s="168"/>
      <c r="BB26" s="168"/>
    </row>
    <row r="27" spans="1:54" ht="285.35000000000002" customHeight="1" x14ac:dyDescent="0.3">
      <c r="A27" s="168"/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  <c r="AB27" s="168"/>
      <c r="AC27" s="168"/>
      <c r="AD27" s="168"/>
      <c r="AE27" s="168"/>
      <c r="AF27" s="168"/>
      <c r="AG27" s="168"/>
      <c r="AH27" s="168"/>
      <c r="AI27" s="168"/>
      <c r="AJ27" s="168"/>
      <c r="AK27" s="168"/>
      <c r="AL27" s="168"/>
      <c r="AM27" s="168"/>
      <c r="AN27" s="168"/>
      <c r="AO27" s="168"/>
      <c r="AP27" s="168"/>
      <c r="AQ27" s="168"/>
      <c r="AR27" s="168"/>
      <c r="AS27" s="168"/>
      <c r="AT27" s="168"/>
      <c r="AU27" s="168"/>
      <c r="AV27" s="168"/>
      <c r="AW27" s="168"/>
      <c r="AX27" s="168"/>
      <c r="AY27" s="168"/>
      <c r="AZ27" s="168"/>
      <c r="BA27" s="168"/>
      <c r="BB27" s="168"/>
    </row>
    <row r="28" spans="1:54" ht="285.35000000000002" customHeight="1" x14ac:dyDescent="0.3">
      <c r="A28" s="168"/>
      <c r="B28" s="168"/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  <c r="AA28" s="168"/>
      <c r="AB28" s="168"/>
      <c r="AC28" s="168"/>
      <c r="AD28" s="168"/>
      <c r="AE28" s="168"/>
      <c r="AF28" s="168"/>
      <c r="AG28" s="168"/>
      <c r="AH28" s="168"/>
      <c r="AI28" s="168"/>
      <c r="AJ28" s="168"/>
      <c r="AK28" s="168"/>
      <c r="AL28" s="168"/>
      <c r="AM28" s="168"/>
      <c r="AN28" s="168"/>
      <c r="AO28" s="168"/>
      <c r="AP28" s="168"/>
      <c r="AQ28" s="168"/>
      <c r="AR28" s="168"/>
      <c r="AS28" s="168"/>
      <c r="AT28" s="168"/>
      <c r="AU28" s="168"/>
      <c r="AV28" s="168"/>
      <c r="AW28" s="168"/>
      <c r="AX28" s="168"/>
      <c r="AY28" s="168"/>
      <c r="AZ28" s="168"/>
      <c r="BA28" s="168"/>
      <c r="BB28" s="168"/>
    </row>
    <row r="29" spans="1:54" ht="285.35000000000002" customHeight="1" x14ac:dyDescent="0.3">
      <c r="A29" s="168"/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  <c r="AA29" s="168"/>
      <c r="AB29" s="168"/>
      <c r="AC29" s="168"/>
      <c r="AD29" s="168"/>
      <c r="AE29" s="168"/>
      <c r="AF29" s="168"/>
      <c r="AG29" s="168"/>
      <c r="AH29" s="168"/>
      <c r="AI29" s="168"/>
      <c r="AJ29" s="168"/>
      <c r="AK29" s="168"/>
      <c r="AL29" s="168"/>
      <c r="AM29" s="168"/>
      <c r="AN29" s="168"/>
      <c r="AO29" s="168"/>
      <c r="AP29" s="168"/>
      <c r="AQ29" s="168"/>
      <c r="AR29" s="168"/>
      <c r="AS29" s="168"/>
      <c r="AT29" s="168"/>
      <c r="AU29" s="168"/>
      <c r="AV29" s="168"/>
      <c r="AW29" s="168"/>
      <c r="AX29" s="168"/>
      <c r="AY29" s="168"/>
      <c r="AZ29" s="168"/>
      <c r="BA29" s="168"/>
      <c r="BB29" s="168"/>
    </row>
    <row r="30" spans="1:54" x14ac:dyDescent="0.3">
      <c r="A30" s="168"/>
      <c r="B30" s="168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68"/>
      <c r="AJ30" s="168"/>
      <c r="AK30" s="168"/>
      <c r="AL30" s="168"/>
      <c r="AM30" s="168"/>
      <c r="AN30" s="168"/>
      <c r="AO30" s="168"/>
      <c r="AP30" s="168"/>
      <c r="AQ30" s="168"/>
      <c r="AR30" s="168"/>
      <c r="AS30" s="168"/>
      <c r="AT30" s="168"/>
      <c r="AU30" s="168"/>
      <c r="AV30" s="168"/>
      <c r="AW30" s="168"/>
      <c r="AX30" s="168"/>
      <c r="AY30" s="168"/>
      <c r="AZ30" s="168"/>
      <c r="BA30" s="168"/>
      <c r="BB30" s="168"/>
    </row>
    <row r="31" spans="1:54" x14ac:dyDescent="0.3">
      <c r="A31" s="168"/>
      <c r="B31" s="168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  <c r="AA31" s="168"/>
      <c r="AB31" s="168"/>
      <c r="AC31" s="168"/>
      <c r="AD31" s="168"/>
      <c r="AE31" s="168"/>
      <c r="AF31" s="168"/>
      <c r="AG31" s="168"/>
      <c r="AH31" s="168"/>
      <c r="AI31" s="168"/>
      <c r="AJ31" s="168"/>
      <c r="AK31" s="168"/>
      <c r="AL31" s="168"/>
      <c r="AM31" s="168"/>
      <c r="AN31" s="168"/>
      <c r="AO31" s="168"/>
      <c r="AP31" s="168"/>
      <c r="AQ31" s="168"/>
      <c r="AR31" s="168"/>
      <c r="AS31" s="168"/>
      <c r="AT31" s="168"/>
      <c r="AU31" s="168"/>
      <c r="AV31" s="168"/>
      <c r="AW31" s="168"/>
      <c r="AX31" s="168"/>
      <c r="AY31" s="168"/>
      <c r="AZ31" s="168"/>
      <c r="BA31" s="168"/>
      <c r="BB31" s="168"/>
    </row>
    <row r="32" spans="1:54" x14ac:dyDescent="0.3">
      <c r="A32" s="168"/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  <c r="AA32" s="168"/>
      <c r="AB32" s="168"/>
      <c r="AC32" s="168"/>
      <c r="AD32" s="168"/>
      <c r="AE32" s="168"/>
      <c r="AF32" s="168"/>
      <c r="AG32" s="168"/>
      <c r="AH32" s="168"/>
      <c r="AI32" s="168"/>
      <c r="AJ32" s="168"/>
      <c r="AK32" s="168"/>
      <c r="AL32" s="168"/>
      <c r="AM32" s="168"/>
      <c r="AN32" s="168"/>
      <c r="AO32" s="168"/>
      <c r="AP32" s="168"/>
      <c r="AQ32" s="168"/>
      <c r="AR32" s="168"/>
      <c r="AS32" s="168"/>
      <c r="AT32" s="168"/>
      <c r="AU32" s="168"/>
      <c r="AV32" s="168"/>
      <c r="AW32" s="168"/>
      <c r="AX32" s="168"/>
      <c r="AY32" s="168"/>
      <c r="AZ32" s="168"/>
      <c r="BA32" s="168"/>
      <c r="BB32" s="168"/>
    </row>
    <row r="33" spans="1:54" x14ac:dyDescent="0.3">
      <c r="A33" s="168"/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8"/>
      <c r="AJ33" s="168"/>
      <c r="AK33" s="168"/>
      <c r="AL33" s="168"/>
      <c r="AM33" s="168"/>
      <c r="AN33" s="168"/>
      <c r="AO33" s="168"/>
      <c r="AP33" s="168"/>
      <c r="AQ33" s="168"/>
      <c r="AR33" s="168"/>
      <c r="AS33" s="168"/>
      <c r="AT33" s="168"/>
      <c r="AU33" s="168"/>
      <c r="AV33" s="168"/>
      <c r="AW33" s="168"/>
      <c r="AX33" s="168"/>
      <c r="AY33" s="168"/>
      <c r="AZ33" s="168"/>
      <c r="BA33" s="168"/>
      <c r="BB33" s="168"/>
    </row>
    <row r="34" spans="1:54" x14ac:dyDescent="0.3">
      <c r="A34" s="168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68"/>
      <c r="AK34" s="168"/>
      <c r="AL34" s="168"/>
      <c r="AM34" s="168"/>
      <c r="AN34" s="168"/>
      <c r="AO34" s="168"/>
      <c r="AP34" s="168"/>
      <c r="AQ34" s="168"/>
      <c r="AR34" s="168"/>
      <c r="AS34" s="168"/>
      <c r="AT34" s="168"/>
      <c r="AU34" s="168"/>
      <c r="AV34" s="168"/>
      <c r="AW34" s="168"/>
      <c r="AX34" s="168"/>
      <c r="AY34" s="168"/>
      <c r="AZ34" s="168"/>
      <c r="BA34" s="168"/>
      <c r="BB34" s="168"/>
    </row>
    <row r="35" spans="1:54" x14ac:dyDescent="0.3">
      <c r="A35" s="168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8"/>
      <c r="AB35" s="168"/>
      <c r="AC35" s="168"/>
      <c r="AD35" s="168"/>
      <c r="AE35" s="168"/>
      <c r="AF35" s="168"/>
      <c r="AG35" s="168"/>
      <c r="AH35" s="168"/>
      <c r="AI35" s="168"/>
      <c r="AJ35" s="168"/>
      <c r="AK35" s="168"/>
      <c r="AL35" s="168"/>
      <c r="AM35" s="168"/>
      <c r="AN35" s="168"/>
      <c r="AO35" s="168"/>
      <c r="AP35" s="168"/>
      <c r="AQ35" s="168"/>
      <c r="AR35" s="168"/>
      <c r="AS35" s="168"/>
      <c r="AT35" s="168"/>
      <c r="AU35" s="168"/>
      <c r="AV35" s="168"/>
      <c r="AW35" s="168"/>
      <c r="AX35" s="168"/>
      <c r="AY35" s="168"/>
      <c r="AZ35" s="168"/>
      <c r="BA35" s="168"/>
      <c r="BB35" s="168"/>
    </row>
    <row r="36" spans="1:54" x14ac:dyDescent="0.3">
      <c r="A36" s="168"/>
      <c r="B36" s="168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  <c r="AA36" s="168"/>
      <c r="AB36" s="168"/>
      <c r="AC36" s="168"/>
      <c r="AD36" s="168"/>
      <c r="AE36" s="168"/>
      <c r="AF36" s="168"/>
      <c r="AG36" s="168"/>
      <c r="AH36" s="168"/>
      <c r="AI36" s="168"/>
      <c r="AJ36" s="168"/>
      <c r="AK36" s="168"/>
      <c r="AL36" s="168"/>
      <c r="AM36" s="168"/>
      <c r="AN36" s="168"/>
      <c r="AO36" s="168"/>
      <c r="AP36" s="168"/>
      <c r="AQ36" s="168"/>
      <c r="AR36" s="168"/>
      <c r="AS36" s="168"/>
      <c r="AT36" s="168"/>
      <c r="AU36" s="168"/>
      <c r="AV36" s="168"/>
      <c r="AW36" s="168"/>
      <c r="AX36" s="168"/>
      <c r="AY36" s="168"/>
      <c r="AZ36" s="168"/>
      <c r="BA36" s="168"/>
      <c r="BB36" s="168"/>
    </row>
    <row r="37" spans="1:54" x14ac:dyDescent="0.3">
      <c r="A37" s="168"/>
      <c r="B37" s="168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8"/>
      <c r="AB37" s="168"/>
      <c r="AC37" s="168"/>
      <c r="AD37" s="168"/>
      <c r="AE37" s="168"/>
      <c r="AF37" s="168"/>
      <c r="AG37" s="168"/>
      <c r="AH37" s="168"/>
      <c r="AI37" s="168"/>
      <c r="AJ37" s="168"/>
      <c r="AK37" s="168"/>
      <c r="AL37" s="168"/>
      <c r="AM37" s="168"/>
      <c r="AN37" s="168"/>
      <c r="AO37" s="168"/>
      <c r="AP37" s="168"/>
      <c r="AQ37" s="168"/>
      <c r="AR37" s="168"/>
      <c r="AS37" s="168"/>
      <c r="AT37" s="168"/>
      <c r="AU37" s="168"/>
      <c r="AV37" s="168"/>
      <c r="AW37" s="168"/>
      <c r="AX37" s="168"/>
      <c r="AY37" s="168"/>
      <c r="AZ37" s="168"/>
      <c r="BA37" s="168"/>
      <c r="BB37" s="168"/>
    </row>
    <row r="38" spans="1:54" x14ac:dyDescent="0.3">
      <c r="A38" s="168"/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  <c r="AA38" s="168"/>
      <c r="AB38" s="168"/>
      <c r="AC38" s="168"/>
      <c r="AD38" s="168"/>
      <c r="AE38" s="168"/>
      <c r="AF38" s="168"/>
      <c r="AG38" s="168"/>
      <c r="AH38" s="168"/>
      <c r="AI38" s="168"/>
      <c r="AJ38" s="168"/>
      <c r="AK38" s="168"/>
      <c r="AL38" s="168"/>
      <c r="AM38" s="168"/>
      <c r="AN38" s="168"/>
      <c r="AO38" s="168"/>
      <c r="AP38" s="168"/>
      <c r="AQ38" s="168"/>
      <c r="AR38" s="168"/>
      <c r="AS38" s="168"/>
      <c r="AT38" s="168"/>
      <c r="AU38" s="168"/>
      <c r="AV38" s="168"/>
      <c r="AW38" s="168"/>
      <c r="AX38" s="168"/>
      <c r="AY38" s="168"/>
      <c r="AZ38" s="168"/>
      <c r="BA38" s="168"/>
      <c r="BB38" s="168"/>
    </row>
  </sheetData>
  <mergeCells count="4">
    <mergeCell ref="E2:H2"/>
    <mergeCell ref="J2:K2"/>
    <mergeCell ref="B2:C2"/>
    <mergeCell ref="J4:K4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2A40C-8397-4675-9EB2-9D3A9E46627C}">
  <dimension ref="B1:U230"/>
  <sheetViews>
    <sheetView showGridLines="0" zoomScale="115" zoomScaleNormal="115" workbookViewId="0">
      <selection activeCell="G19" sqref="G19"/>
    </sheetView>
  </sheetViews>
  <sheetFormatPr defaultRowHeight="15.7" x14ac:dyDescent="0.3"/>
  <cols>
    <col min="1" max="1" width="2.625" customWidth="1"/>
    <col min="2" max="2" width="6.25" customWidth="1"/>
    <col min="3" max="3" width="14.625" customWidth="1"/>
    <col min="4" max="4" width="6.5" customWidth="1"/>
    <col min="5" max="5" width="9" customWidth="1"/>
    <col min="6" max="8" width="6.125" customWidth="1"/>
    <col min="9" max="10" width="6.5" customWidth="1"/>
    <col min="11" max="11" width="8.375" customWidth="1"/>
    <col min="12" max="12" width="2.625" customWidth="1"/>
    <col min="13" max="14" width="10.875" customWidth="1"/>
    <col min="15" max="15" width="2.625" customWidth="1"/>
    <col min="16" max="16" width="4.625" customWidth="1"/>
    <col min="18" max="18" width="15.875" customWidth="1"/>
    <col min="21" max="21" width="15.875" customWidth="1"/>
  </cols>
  <sheetData>
    <row r="1" spans="2:21" ht="16.399999999999999" thickBot="1" x14ac:dyDescent="0.35"/>
    <row r="2" spans="2:21" ht="15.7" customHeight="1" thickBot="1" x14ac:dyDescent="0.35">
      <c r="B2" s="77" t="s">
        <v>31</v>
      </c>
      <c r="C2" s="93" t="s">
        <v>5</v>
      </c>
      <c r="D2" s="78" t="s">
        <v>32</v>
      </c>
      <c r="E2" s="79" t="s">
        <v>29</v>
      </c>
      <c r="F2" s="80" t="s">
        <v>4</v>
      </c>
      <c r="G2" s="80" t="s">
        <v>2</v>
      </c>
      <c r="H2" s="80" t="s">
        <v>10</v>
      </c>
      <c r="I2" s="81" t="s">
        <v>22</v>
      </c>
      <c r="J2" s="80" t="s">
        <v>24</v>
      </c>
      <c r="K2" s="78" t="s">
        <v>26</v>
      </c>
      <c r="M2" s="45" t="s">
        <v>42</v>
      </c>
      <c r="N2" s="43" t="s">
        <v>45</v>
      </c>
    </row>
    <row r="3" spans="2:21" ht="27.1" customHeight="1" thickBot="1" x14ac:dyDescent="0.35">
      <c r="B3" s="63">
        <v>1</v>
      </c>
      <c r="C3" s="98" t="str" cm="1">
        <f t="array" ref="C3:K8">_xlfn._xlws.SORT(_xlfn._xlws.SORT(_xlfn._xlws.SORT(_xlfn._xlws.SORT((_xlfn._xlws.FILTER(표1부리그[],표1부리그[경기]&gt;(-1),)),9,-1),7,-1),8,1),2,-1)</f>
        <v>독일</v>
      </c>
      <c r="D3" s="60">
        <v>0</v>
      </c>
      <c r="E3" s="42">
        <v>0</v>
      </c>
      <c r="F3" s="40">
        <v>0</v>
      </c>
      <c r="G3" s="40">
        <v>0</v>
      </c>
      <c r="H3" s="40">
        <v>0</v>
      </c>
      <c r="I3" s="41">
        <v>0</v>
      </c>
      <c r="J3" s="40">
        <v>0</v>
      </c>
      <c r="K3" s="64">
        <v>0</v>
      </c>
      <c r="M3" s="69">
        <f>IFERROR(D3/E3,0)</f>
        <v>0</v>
      </c>
      <c r="N3" s="83">
        <f>(10-E3)*3+D3</f>
        <v>30</v>
      </c>
    </row>
    <row r="4" spans="2:21" ht="27.1" customHeight="1" thickBot="1" x14ac:dyDescent="0.35">
      <c r="B4" s="65">
        <v>2</v>
      </c>
      <c r="C4" s="94" t="str">
        <v>미국</v>
      </c>
      <c r="D4" s="61">
        <v>0</v>
      </c>
      <c r="E4" s="35">
        <v>0</v>
      </c>
      <c r="F4" s="33">
        <v>0</v>
      </c>
      <c r="G4" s="33">
        <v>0</v>
      </c>
      <c r="H4" s="33">
        <v>0</v>
      </c>
      <c r="I4" s="34">
        <v>0</v>
      </c>
      <c r="J4" s="33">
        <v>0</v>
      </c>
      <c r="K4" s="66">
        <v>0</v>
      </c>
      <c r="M4" s="70">
        <f t="shared" ref="M4:M8" si="0">IFERROR(D4/E4,0)</f>
        <v>0</v>
      </c>
      <c r="N4" s="96">
        <f t="shared" ref="N4:N8" si="1">(10-E4)*3+D4</f>
        <v>30</v>
      </c>
    </row>
    <row r="5" spans="2:21" ht="27.1" customHeight="1" thickBot="1" x14ac:dyDescent="0.35">
      <c r="B5" s="67">
        <v>3</v>
      </c>
      <c r="C5" s="95" t="str">
        <v>아르헨티나</v>
      </c>
      <c r="D5" s="62">
        <v>0</v>
      </c>
      <c r="E5" s="31">
        <v>0</v>
      </c>
      <c r="F5" s="29">
        <v>0</v>
      </c>
      <c r="G5" s="29">
        <v>0</v>
      </c>
      <c r="H5" s="29">
        <v>0</v>
      </c>
      <c r="I5" s="30">
        <v>0</v>
      </c>
      <c r="J5" s="29">
        <v>0</v>
      </c>
      <c r="K5" s="68">
        <v>0</v>
      </c>
      <c r="M5" s="71">
        <f t="shared" si="0"/>
        <v>0</v>
      </c>
      <c r="N5" s="97">
        <f t="shared" si="1"/>
        <v>30</v>
      </c>
    </row>
    <row r="6" spans="2:21" ht="27.1" customHeight="1" thickBot="1" x14ac:dyDescent="0.35">
      <c r="B6" s="65">
        <v>4</v>
      </c>
      <c r="C6" s="94" t="str">
        <v>오스트리아</v>
      </c>
      <c r="D6" s="61">
        <v>0</v>
      </c>
      <c r="E6" s="35">
        <v>0</v>
      </c>
      <c r="F6" s="33">
        <v>0</v>
      </c>
      <c r="G6" s="33">
        <v>0</v>
      </c>
      <c r="H6" s="33">
        <v>0</v>
      </c>
      <c r="I6" s="34">
        <v>0</v>
      </c>
      <c r="J6" s="33">
        <v>0</v>
      </c>
      <c r="K6" s="66">
        <v>0</v>
      </c>
      <c r="M6" s="70">
        <f t="shared" si="0"/>
        <v>0</v>
      </c>
      <c r="N6" s="96">
        <f t="shared" si="1"/>
        <v>30</v>
      </c>
    </row>
    <row r="7" spans="2:21" ht="27.1" customHeight="1" thickBot="1" x14ac:dyDescent="0.35">
      <c r="B7" s="67">
        <v>5</v>
      </c>
      <c r="C7" s="95" t="str">
        <v>잉글랜드</v>
      </c>
      <c r="D7" s="62">
        <v>0</v>
      </c>
      <c r="E7" s="31">
        <v>0</v>
      </c>
      <c r="F7" s="29">
        <v>0</v>
      </c>
      <c r="G7" s="29">
        <v>0</v>
      </c>
      <c r="H7" s="29">
        <v>0</v>
      </c>
      <c r="I7" s="30">
        <v>0</v>
      </c>
      <c r="J7" s="29">
        <v>0</v>
      </c>
      <c r="K7" s="68">
        <v>0</v>
      </c>
      <c r="M7" s="71">
        <f t="shared" si="0"/>
        <v>0</v>
      </c>
      <c r="N7" s="97">
        <f t="shared" si="1"/>
        <v>30</v>
      </c>
    </row>
    <row r="8" spans="2:21" ht="27.1" customHeight="1" thickBot="1" x14ac:dyDescent="0.35">
      <c r="B8" s="74">
        <v>6</v>
      </c>
      <c r="C8" s="99" t="str">
        <v>코트디부아르</v>
      </c>
      <c r="D8" s="75">
        <v>0</v>
      </c>
      <c r="E8" s="58">
        <v>0</v>
      </c>
      <c r="F8" s="56">
        <v>0</v>
      </c>
      <c r="G8" s="56">
        <v>0</v>
      </c>
      <c r="H8" s="56">
        <v>0</v>
      </c>
      <c r="I8" s="57">
        <v>0</v>
      </c>
      <c r="J8" s="56">
        <v>0</v>
      </c>
      <c r="K8" s="76">
        <v>0</v>
      </c>
      <c r="M8" s="70">
        <f t="shared" si="0"/>
        <v>0</v>
      </c>
      <c r="N8" s="96">
        <f t="shared" si="1"/>
        <v>30</v>
      </c>
    </row>
    <row r="9" spans="2:21" ht="15" customHeight="1" x14ac:dyDescent="0.3"/>
    <row r="10" spans="2:21" ht="21.6" customHeight="1" x14ac:dyDescent="0.3">
      <c r="P10" s="9" t="s">
        <v>47</v>
      </c>
      <c r="Q10" s="10" t="s">
        <v>46</v>
      </c>
      <c r="R10" s="10" t="s">
        <v>48</v>
      </c>
      <c r="S10" s="10" t="s">
        <v>22</v>
      </c>
      <c r="T10" s="10" t="s">
        <v>24</v>
      </c>
      <c r="U10" s="11" t="s">
        <v>49</v>
      </c>
    </row>
    <row r="11" spans="2:21" ht="27.1" customHeight="1" x14ac:dyDescent="0.3">
      <c r="P11" s="155">
        <v>1</v>
      </c>
      <c r="Q11" s="161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11" s="161" t="s">
        <v>11</v>
      </c>
      <c r="S11" s="161"/>
      <c r="T11" s="161"/>
      <c r="U11" s="162" t="s">
        <v>68</v>
      </c>
    </row>
    <row r="12" spans="2:21" ht="27.1" customHeight="1" x14ac:dyDescent="0.3">
      <c r="P12" s="152">
        <v>2</v>
      </c>
      <c r="Q12" s="159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12" s="159" t="s">
        <v>11</v>
      </c>
      <c r="S12" s="159"/>
      <c r="T12" s="159"/>
      <c r="U12" s="160" t="s">
        <v>68</v>
      </c>
    </row>
    <row r="13" spans="2:21" ht="27.1" customHeight="1" x14ac:dyDescent="0.3">
      <c r="P13" s="155">
        <v>3</v>
      </c>
      <c r="Q13" s="161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13" s="161" t="s">
        <v>11</v>
      </c>
      <c r="S13" s="161"/>
      <c r="T13" s="161"/>
      <c r="U13" s="162" t="s">
        <v>43</v>
      </c>
    </row>
    <row r="14" spans="2:21" ht="27.1" customHeight="1" x14ac:dyDescent="0.3">
      <c r="P14" s="152">
        <v>4</v>
      </c>
      <c r="Q14" s="159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14" s="159" t="s">
        <v>11</v>
      </c>
      <c r="S14" s="159"/>
      <c r="T14" s="159"/>
      <c r="U14" s="160" t="s">
        <v>43</v>
      </c>
    </row>
    <row r="15" spans="2:21" ht="27.1" customHeight="1" x14ac:dyDescent="0.3">
      <c r="P15" s="155">
        <v>5</v>
      </c>
      <c r="Q15" s="161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15" s="161" t="s">
        <v>11</v>
      </c>
      <c r="S15" s="161"/>
      <c r="T15" s="161"/>
      <c r="U15" s="162" t="s">
        <v>44</v>
      </c>
    </row>
    <row r="16" spans="2:21" ht="27.1" customHeight="1" x14ac:dyDescent="0.3">
      <c r="P16" s="152">
        <v>6</v>
      </c>
      <c r="Q16" s="159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16" s="159" t="s">
        <v>11</v>
      </c>
      <c r="S16" s="159"/>
      <c r="T16" s="159"/>
      <c r="U16" s="160" t="s">
        <v>44</v>
      </c>
    </row>
    <row r="17" spans="16:21" ht="27.1" customHeight="1" x14ac:dyDescent="0.3">
      <c r="P17" s="155">
        <v>7</v>
      </c>
      <c r="Q17" s="161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17" s="161" t="s">
        <v>11</v>
      </c>
      <c r="S17" s="161"/>
      <c r="T17" s="161"/>
      <c r="U17" s="162" t="s">
        <v>50</v>
      </c>
    </row>
    <row r="18" spans="16:21" ht="27.1" customHeight="1" x14ac:dyDescent="0.3">
      <c r="P18" s="152">
        <v>8</v>
      </c>
      <c r="Q18" s="159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18" s="159" t="s">
        <v>11</v>
      </c>
      <c r="S18" s="159"/>
      <c r="T18" s="159"/>
      <c r="U18" s="160" t="s">
        <v>50</v>
      </c>
    </row>
    <row r="19" spans="16:21" ht="27.1" customHeight="1" x14ac:dyDescent="0.3">
      <c r="P19" s="155">
        <v>9</v>
      </c>
      <c r="Q19" s="161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19" s="161" t="s">
        <v>11</v>
      </c>
      <c r="S19" s="161"/>
      <c r="T19" s="161"/>
      <c r="U19" s="162" t="s">
        <v>12</v>
      </c>
    </row>
    <row r="20" spans="16:21" ht="27.1" customHeight="1" thickBot="1" x14ac:dyDescent="0.35">
      <c r="P20" s="16">
        <v>10</v>
      </c>
      <c r="Q20" s="89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20" s="89" t="s">
        <v>11</v>
      </c>
      <c r="S20" s="89"/>
      <c r="T20" s="89"/>
      <c r="U20" s="90" t="s">
        <v>12</v>
      </c>
    </row>
    <row r="21" spans="16:21" ht="27.1" customHeight="1" x14ac:dyDescent="0.3">
      <c r="P21" s="26">
        <v>11</v>
      </c>
      <c r="Q21" s="91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21" s="91" t="s">
        <v>43</v>
      </c>
      <c r="S21" s="91"/>
      <c r="T21" s="91"/>
      <c r="U21" s="100" t="s">
        <v>68</v>
      </c>
    </row>
    <row r="22" spans="16:21" ht="27.1" customHeight="1" x14ac:dyDescent="0.3">
      <c r="P22" s="149">
        <v>12</v>
      </c>
      <c r="Q22" s="159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22" s="159" t="s">
        <v>43</v>
      </c>
      <c r="S22" s="159"/>
      <c r="T22" s="159"/>
      <c r="U22" s="163" t="s">
        <v>68</v>
      </c>
    </row>
    <row r="23" spans="16:21" ht="27.1" customHeight="1" x14ac:dyDescent="0.3">
      <c r="P23" s="153">
        <v>13</v>
      </c>
      <c r="Q23" s="161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23" s="161" t="s">
        <v>43</v>
      </c>
      <c r="S23" s="161"/>
      <c r="T23" s="161"/>
      <c r="U23" s="164" t="s">
        <v>44</v>
      </c>
    </row>
    <row r="24" spans="16:21" ht="27.1" customHeight="1" x14ac:dyDescent="0.3">
      <c r="P24" s="149">
        <v>14</v>
      </c>
      <c r="Q24" s="159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24" s="159" t="s">
        <v>43</v>
      </c>
      <c r="S24" s="159"/>
      <c r="T24" s="159"/>
      <c r="U24" s="163" t="s">
        <v>44</v>
      </c>
    </row>
    <row r="25" spans="16:21" ht="27.1" customHeight="1" x14ac:dyDescent="0.3">
      <c r="P25" s="153">
        <v>15</v>
      </c>
      <c r="Q25" s="161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25" s="161" t="s">
        <v>43</v>
      </c>
      <c r="S25" s="161"/>
      <c r="T25" s="161"/>
      <c r="U25" s="164" t="s">
        <v>11</v>
      </c>
    </row>
    <row r="26" spans="16:21" ht="27.1" customHeight="1" x14ac:dyDescent="0.3">
      <c r="P26" s="149">
        <v>16</v>
      </c>
      <c r="Q26" s="159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26" s="159" t="s">
        <v>43</v>
      </c>
      <c r="S26" s="159"/>
      <c r="T26" s="159"/>
      <c r="U26" s="163" t="s">
        <v>11</v>
      </c>
    </row>
    <row r="27" spans="16:21" ht="27.1" customHeight="1" x14ac:dyDescent="0.3">
      <c r="P27" s="153">
        <v>17</v>
      </c>
      <c r="Q27" s="161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27" s="161" t="s">
        <v>43</v>
      </c>
      <c r="S27" s="161"/>
      <c r="T27" s="161"/>
      <c r="U27" s="164" t="s">
        <v>50</v>
      </c>
    </row>
    <row r="28" spans="16:21" ht="27.1" customHeight="1" x14ac:dyDescent="0.3">
      <c r="P28" s="149">
        <v>18</v>
      </c>
      <c r="Q28" s="159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28" s="159" t="s">
        <v>43</v>
      </c>
      <c r="S28" s="159"/>
      <c r="T28" s="159"/>
      <c r="U28" s="163" t="s">
        <v>50</v>
      </c>
    </row>
    <row r="29" spans="16:21" ht="27.1" customHeight="1" x14ac:dyDescent="0.3">
      <c r="P29" s="153">
        <v>19</v>
      </c>
      <c r="Q29" s="161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29" s="161" t="s">
        <v>43</v>
      </c>
      <c r="S29" s="161"/>
      <c r="T29" s="161"/>
      <c r="U29" s="164" t="s">
        <v>12</v>
      </c>
    </row>
    <row r="30" spans="16:21" ht="27.1" customHeight="1" thickBot="1" x14ac:dyDescent="0.35">
      <c r="P30" s="23">
        <v>20</v>
      </c>
      <c r="Q30" s="92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30" s="92" t="s">
        <v>43</v>
      </c>
      <c r="S30" s="92"/>
      <c r="T30" s="92"/>
      <c r="U30" s="101" t="s">
        <v>12</v>
      </c>
    </row>
    <row r="31" spans="16:21" ht="27.1" customHeight="1" x14ac:dyDescent="0.3">
      <c r="P31" s="12">
        <v>21</v>
      </c>
      <c r="Q31" s="85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31" s="85" t="s">
        <v>44</v>
      </c>
      <c r="S31" s="85"/>
      <c r="T31" s="85"/>
      <c r="U31" s="86" t="s">
        <v>68</v>
      </c>
    </row>
    <row r="32" spans="16:21" ht="27.1" customHeight="1" x14ac:dyDescent="0.3">
      <c r="P32" s="152">
        <v>22</v>
      </c>
      <c r="Q32" s="159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32" s="159" t="s">
        <v>44</v>
      </c>
      <c r="S32" s="159"/>
      <c r="T32" s="159"/>
      <c r="U32" s="160" t="s">
        <v>68</v>
      </c>
    </row>
    <row r="33" spans="16:21" ht="27.1" customHeight="1" x14ac:dyDescent="0.3">
      <c r="P33" s="155">
        <v>23</v>
      </c>
      <c r="Q33" s="161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33" s="161" t="s">
        <v>44</v>
      </c>
      <c r="S33" s="161"/>
      <c r="T33" s="161"/>
      <c r="U33" s="162" t="s">
        <v>43</v>
      </c>
    </row>
    <row r="34" spans="16:21" ht="27.1" customHeight="1" x14ac:dyDescent="0.3">
      <c r="P34" s="152">
        <v>24</v>
      </c>
      <c r="Q34" s="159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34" s="159" t="s">
        <v>44</v>
      </c>
      <c r="S34" s="159"/>
      <c r="T34" s="159"/>
      <c r="U34" s="160" t="s">
        <v>43</v>
      </c>
    </row>
    <row r="35" spans="16:21" ht="27.1" customHeight="1" x14ac:dyDescent="0.3">
      <c r="P35" s="155">
        <v>25</v>
      </c>
      <c r="Q35" s="161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35" s="161" t="s">
        <v>44</v>
      </c>
      <c r="S35" s="161"/>
      <c r="T35" s="161"/>
      <c r="U35" s="162" t="s">
        <v>11</v>
      </c>
    </row>
    <row r="36" spans="16:21" ht="27.1" customHeight="1" x14ac:dyDescent="0.3">
      <c r="P36" s="152">
        <v>26</v>
      </c>
      <c r="Q36" s="159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36" s="159" t="s">
        <v>44</v>
      </c>
      <c r="S36" s="159"/>
      <c r="T36" s="159"/>
      <c r="U36" s="160" t="s">
        <v>11</v>
      </c>
    </row>
    <row r="37" spans="16:21" ht="27.1" customHeight="1" x14ac:dyDescent="0.3">
      <c r="P37" s="155">
        <v>27</v>
      </c>
      <c r="Q37" s="161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37" s="161" t="s">
        <v>44</v>
      </c>
      <c r="S37" s="161"/>
      <c r="T37" s="161"/>
      <c r="U37" s="162" t="s">
        <v>50</v>
      </c>
    </row>
    <row r="38" spans="16:21" ht="27.1" customHeight="1" x14ac:dyDescent="0.3">
      <c r="P38" s="152">
        <v>28</v>
      </c>
      <c r="Q38" s="159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38" s="159" t="s">
        <v>44</v>
      </c>
      <c r="S38" s="159"/>
      <c r="T38" s="159"/>
      <c r="U38" s="160" t="s">
        <v>50</v>
      </c>
    </row>
    <row r="39" spans="16:21" ht="27.1" customHeight="1" x14ac:dyDescent="0.3">
      <c r="P39" s="155">
        <v>29</v>
      </c>
      <c r="Q39" s="161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39" s="161" t="s">
        <v>44</v>
      </c>
      <c r="S39" s="161"/>
      <c r="T39" s="161"/>
      <c r="U39" s="162" t="s">
        <v>12</v>
      </c>
    </row>
    <row r="40" spans="16:21" ht="27.1" customHeight="1" thickBot="1" x14ac:dyDescent="0.35">
      <c r="P40" s="16">
        <v>30</v>
      </c>
      <c r="Q40" s="89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40" s="89" t="s">
        <v>44</v>
      </c>
      <c r="S40" s="89"/>
      <c r="T40" s="89"/>
      <c r="U40" s="90" t="s">
        <v>12</v>
      </c>
    </row>
    <row r="41" spans="16:21" ht="27.1" customHeight="1" x14ac:dyDescent="0.3">
      <c r="P41" s="26">
        <v>31</v>
      </c>
      <c r="Q41" s="91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41" s="91" t="s">
        <v>68</v>
      </c>
      <c r="S41" s="91"/>
      <c r="T41" s="91"/>
      <c r="U41" s="100" t="s">
        <v>43</v>
      </c>
    </row>
    <row r="42" spans="16:21" ht="27.1" customHeight="1" x14ac:dyDescent="0.3">
      <c r="P42" s="149">
        <v>32</v>
      </c>
      <c r="Q42" s="159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42" s="159" t="s">
        <v>68</v>
      </c>
      <c r="S42" s="159"/>
      <c r="T42" s="159"/>
      <c r="U42" s="163" t="s">
        <v>43</v>
      </c>
    </row>
    <row r="43" spans="16:21" ht="27.1" customHeight="1" x14ac:dyDescent="0.3">
      <c r="P43" s="153">
        <v>33</v>
      </c>
      <c r="Q43" s="161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43" s="161" t="s">
        <v>68</v>
      </c>
      <c r="S43" s="161"/>
      <c r="T43" s="161"/>
      <c r="U43" s="164" t="s">
        <v>44</v>
      </c>
    </row>
    <row r="44" spans="16:21" ht="27.1" customHeight="1" x14ac:dyDescent="0.3">
      <c r="P44" s="149">
        <v>34</v>
      </c>
      <c r="Q44" s="159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44" s="159" t="s">
        <v>68</v>
      </c>
      <c r="S44" s="159"/>
      <c r="T44" s="159"/>
      <c r="U44" s="163" t="s">
        <v>44</v>
      </c>
    </row>
    <row r="45" spans="16:21" ht="27.1" customHeight="1" x14ac:dyDescent="0.3">
      <c r="P45" s="153">
        <v>35</v>
      </c>
      <c r="Q45" s="161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45" s="161" t="s">
        <v>68</v>
      </c>
      <c r="S45" s="161"/>
      <c r="T45" s="161"/>
      <c r="U45" s="164" t="s">
        <v>11</v>
      </c>
    </row>
    <row r="46" spans="16:21" ht="27.1" customHeight="1" x14ac:dyDescent="0.3">
      <c r="P46" s="149">
        <v>36</v>
      </c>
      <c r="Q46" s="159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46" s="159" t="s">
        <v>68</v>
      </c>
      <c r="S46" s="159"/>
      <c r="T46" s="159"/>
      <c r="U46" s="163" t="s">
        <v>11</v>
      </c>
    </row>
    <row r="47" spans="16:21" ht="27.1" customHeight="1" x14ac:dyDescent="0.3">
      <c r="P47" s="153">
        <v>37</v>
      </c>
      <c r="Q47" s="161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47" s="161" t="s">
        <v>68</v>
      </c>
      <c r="S47" s="161"/>
      <c r="T47" s="161"/>
      <c r="U47" s="164" t="s">
        <v>50</v>
      </c>
    </row>
    <row r="48" spans="16:21" ht="27.1" customHeight="1" x14ac:dyDescent="0.3">
      <c r="P48" s="149">
        <v>38</v>
      </c>
      <c r="Q48" s="159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48" s="159" t="s">
        <v>68</v>
      </c>
      <c r="S48" s="159"/>
      <c r="T48" s="159"/>
      <c r="U48" s="163" t="s">
        <v>50</v>
      </c>
    </row>
    <row r="49" spans="16:21" ht="27.1" customHeight="1" x14ac:dyDescent="0.3">
      <c r="P49" s="153">
        <v>39</v>
      </c>
      <c r="Q49" s="161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49" s="161" t="s">
        <v>68</v>
      </c>
      <c r="S49" s="161"/>
      <c r="T49" s="161"/>
      <c r="U49" s="164" t="s">
        <v>12</v>
      </c>
    </row>
    <row r="50" spans="16:21" ht="27.1" customHeight="1" thickBot="1" x14ac:dyDescent="0.35">
      <c r="P50" s="23">
        <v>40</v>
      </c>
      <c r="Q50" s="92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50" s="92" t="s">
        <v>68</v>
      </c>
      <c r="S50" s="92"/>
      <c r="T50" s="92"/>
      <c r="U50" s="101" t="s">
        <v>12</v>
      </c>
    </row>
    <row r="51" spans="16:21" ht="27.1" customHeight="1" x14ac:dyDescent="0.3">
      <c r="P51" s="26">
        <v>41</v>
      </c>
      <c r="Q51" s="91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51" s="91" t="s">
        <v>50</v>
      </c>
      <c r="S51" s="91"/>
      <c r="T51" s="91"/>
      <c r="U51" s="100" t="s">
        <v>68</v>
      </c>
    </row>
    <row r="52" spans="16:21" ht="27.1" customHeight="1" x14ac:dyDescent="0.3">
      <c r="P52" s="149">
        <v>42</v>
      </c>
      <c r="Q52" s="159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52" s="159" t="s">
        <v>50</v>
      </c>
      <c r="S52" s="159"/>
      <c r="T52" s="159"/>
      <c r="U52" s="163" t="s">
        <v>68</v>
      </c>
    </row>
    <row r="53" spans="16:21" ht="27.1" customHeight="1" x14ac:dyDescent="0.3">
      <c r="P53" s="153">
        <v>43</v>
      </c>
      <c r="Q53" s="161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53" s="161" t="s">
        <v>50</v>
      </c>
      <c r="S53" s="161"/>
      <c r="T53" s="161"/>
      <c r="U53" s="164" t="s">
        <v>43</v>
      </c>
    </row>
    <row r="54" spans="16:21" ht="27.1" customHeight="1" x14ac:dyDescent="0.3">
      <c r="P54" s="149">
        <v>44</v>
      </c>
      <c r="Q54" s="159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54" s="159" t="s">
        <v>50</v>
      </c>
      <c r="S54" s="159"/>
      <c r="T54" s="159"/>
      <c r="U54" s="163" t="s">
        <v>43</v>
      </c>
    </row>
    <row r="55" spans="16:21" ht="27.1" customHeight="1" x14ac:dyDescent="0.3">
      <c r="P55" s="153">
        <v>45</v>
      </c>
      <c r="Q55" s="161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55" s="161" t="s">
        <v>50</v>
      </c>
      <c r="S55" s="161"/>
      <c r="T55" s="161"/>
      <c r="U55" s="164" t="s">
        <v>44</v>
      </c>
    </row>
    <row r="56" spans="16:21" ht="27.1" customHeight="1" x14ac:dyDescent="0.3">
      <c r="P56" s="149">
        <v>46</v>
      </c>
      <c r="Q56" s="159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56" s="159" t="s">
        <v>50</v>
      </c>
      <c r="S56" s="159"/>
      <c r="T56" s="159"/>
      <c r="U56" s="163" t="s">
        <v>44</v>
      </c>
    </row>
    <row r="57" spans="16:21" ht="27.1" customHeight="1" x14ac:dyDescent="0.3">
      <c r="P57" s="153">
        <v>47</v>
      </c>
      <c r="Q57" s="161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57" s="161" t="s">
        <v>50</v>
      </c>
      <c r="S57" s="161"/>
      <c r="T57" s="161"/>
      <c r="U57" s="164" t="s">
        <v>11</v>
      </c>
    </row>
    <row r="58" spans="16:21" ht="27.1" customHeight="1" x14ac:dyDescent="0.3">
      <c r="P58" s="149">
        <v>48</v>
      </c>
      <c r="Q58" s="159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58" s="159" t="s">
        <v>50</v>
      </c>
      <c r="S58" s="159"/>
      <c r="T58" s="159"/>
      <c r="U58" s="163" t="s">
        <v>11</v>
      </c>
    </row>
    <row r="59" spans="16:21" ht="27.1" customHeight="1" x14ac:dyDescent="0.3">
      <c r="P59" s="153">
        <v>49</v>
      </c>
      <c r="Q59" s="161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59" s="161" t="s">
        <v>50</v>
      </c>
      <c r="S59" s="161"/>
      <c r="T59" s="161"/>
      <c r="U59" s="164" t="s">
        <v>12</v>
      </c>
    </row>
    <row r="60" spans="16:21" ht="27.1" customHeight="1" thickBot="1" x14ac:dyDescent="0.35">
      <c r="P60" s="23">
        <v>50</v>
      </c>
      <c r="Q60" s="92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60" s="92" t="s">
        <v>50</v>
      </c>
      <c r="S60" s="92"/>
      <c r="T60" s="92"/>
      <c r="U60" s="101" t="s">
        <v>12</v>
      </c>
    </row>
    <row r="61" spans="16:21" ht="27.1" customHeight="1" x14ac:dyDescent="0.3">
      <c r="P61" s="12">
        <v>51</v>
      </c>
      <c r="Q61" s="85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61" s="85" t="s">
        <v>12</v>
      </c>
      <c r="S61" s="85"/>
      <c r="T61" s="85"/>
      <c r="U61" s="86" t="s">
        <v>68</v>
      </c>
    </row>
    <row r="62" spans="16:21" ht="27.1" customHeight="1" x14ac:dyDescent="0.3">
      <c r="P62" s="152">
        <v>52</v>
      </c>
      <c r="Q62" s="159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62" s="159" t="s">
        <v>12</v>
      </c>
      <c r="S62" s="159"/>
      <c r="T62" s="159"/>
      <c r="U62" s="160" t="s">
        <v>68</v>
      </c>
    </row>
    <row r="63" spans="16:21" ht="27.1" customHeight="1" x14ac:dyDescent="0.3">
      <c r="P63" s="155">
        <v>53</v>
      </c>
      <c r="Q63" s="161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63" s="161" t="s">
        <v>12</v>
      </c>
      <c r="S63" s="161"/>
      <c r="T63" s="161"/>
      <c r="U63" s="162" t="s">
        <v>43</v>
      </c>
    </row>
    <row r="64" spans="16:21" ht="27.1" customHeight="1" x14ac:dyDescent="0.3">
      <c r="P64" s="152">
        <v>54</v>
      </c>
      <c r="Q64" s="159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64" s="159" t="s">
        <v>12</v>
      </c>
      <c r="S64" s="159"/>
      <c r="T64" s="159"/>
      <c r="U64" s="160" t="s">
        <v>43</v>
      </c>
    </row>
    <row r="65" spans="16:21" ht="27.1" customHeight="1" x14ac:dyDescent="0.3">
      <c r="P65" s="155">
        <v>55</v>
      </c>
      <c r="Q65" s="161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65" s="161" t="s">
        <v>12</v>
      </c>
      <c r="S65" s="161"/>
      <c r="T65" s="161"/>
      <c r="U65" s="162" t="s">
        <v>44</v>
      </c>
    </row>
    <row r="66" spans="16:21" ht="27.1" customHeight="1" x14ac:dyDescent="0.3">
      <c r="P66" s="152">
        <v>56</v>
      </c>
      <c r="Q66" s="159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66" s="159" t="s">
        <v>12</v>
      </c>
      <c r="S66" s="159"/>
      <c r="T66" s="159"/>
      <c r="U66" s="160" t="s">
        <v>44</v>
      </c>
    </row>
    <row r="67" spans="16:21" ht="27.1" customHeight="1" x14ac:dyDescent="0.3">
      <c r="P67" s="155">
        <v>57</v>
      </c>
      <c r="Q67" s="161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67" s="161" t="s">
        <v>12</v>
      </c>
      <c r="S67" s="161"/>
      <c r="T67" s="161"/>
      <c r="U67" s="162" t="s">
        <v>11</v>
      </c>
    </row>
    <row r="68" spans="16:21" ht="27.1" customHeight="1" x14ac:dyDescent="0.3">
      <c r="P68" s="152">
        <v>58</v>
      </c>
      <c r="Q68" s="159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68" s="159" t="s">
        <v>12</v>
      </c>
      <c r="S68" s="159"/>
      <c r="T68" s="159"/>
      <c r="U68" s="160" t="s">
        <v>11</v>
      </c>
    </row>
    <row r="69" spans="16:21" ht="27.1" customHeight="1" x14ac:dyDescent="0.3">
      <c r="P69" s="155">
        <v>59</v>
      </c>
      <c r="Q69" s="161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69" s="161" t="s">
        <v>12</v>
      </c>
      <c r="S69" s="161"/>
      <c r="T69" s="161"/>
      <c r="U69" s="162" t="s">
        <v>50</v>
      </c>
    </row>
    <row r="70" spans="16:21" ht="27.1" customHeight="1" x14ac:dyDescent="0.3">
      <c r="P70" s="152">
        <v>60</v>
      </c>
      <c r="Q70" s="159" t="str">
        <f>IF(표1부리그경기결과[[#This Row],[득점]]="","미진행",IF(표1부리그경기결과[[#This Row],[득점]]&gt;표1부리그경기결과[[#This Row],[실점]],"승",IF(표1부리그경기결과[[#This Row],[득점]]=표1부리그경기결과[[#This Row],[실점]],"무",IF(표1부리그경기결과[[#This Row],[득점]]&lt;표1부리그경기결과[[#This Row],[실점]],"패","미진행"))))</f>
        <v>미진행</v>
      </c>
      <c r="R70" s="159" t="s">
        <v>12</v>
      </c>
      <c r="S70" s="159"/>
      <c r="T70" s="159"/>
      <c r="U70" s="160" t="s">
        <v>50</v>
      </c>
    </row>
    <row r="71" spans="16:21" ht="27.1" customHeight="1" x14ac:dyDescent="0.3"/>
    <row r="72" spans="16:21" ht="27.1" customHeight="1" x14ac:dyDescent="0.3"/>
    <row r="73" spans="16:21" ht="27.1" customHeight="1" x14ac:dyDescent="0.3"/>
    <row r="74" spans="16:21" ht="27.1" customHeight="1" x14ac:dyDescent="0.3"/>
    <row r="75" spans="16:21" ht="27.1" customHeight="1" x14ac:dyDescent="0.3"/>
    <row r="76" spans="16:21" ht="27.1" customHeight="1" x14ac:dyDescent="0.3"/>
    <row r="77" spans="16:21" ht="27.1" customHeight="1" x14ac:dyDescent="0.3"/>
    <row r="78" spans="16:21" ht="27.1" customHeight="1" x14ac:dyDescent="0.3"/>
    <row r="79" spans="16:21" ht="27.1" customHeight="1" x14ac:dyDescent="0.3"/>
    <row r="80" spans="16:21" ht="27.1" customHeight="1" x14ac:dyDescent="0.3"/>
    <row r="81" ht="27.1" customHeight="1" x14ac:dyDescent="0.3"/>
    <row r="82" ht="27.1" customHeight="1" x14ac:dyDescent="0.3"/>
    <row r="83" ht="27.1" customHeight="1" x14ac:dyDescent="0.3"/>
    <row r="84" ht="27.1" customHeight="1" x14ac:dyDescent="0.3"/>
    <row r="85" ht="27.1" customHeight="1" x14ac:dyDescent="0.3"/>
    <row r="86" ht="27.1" customHeight="1" x14ac:dyDescent="0.3"/>
    <row r="87" ht="27.1" customHeight="1" x14ac:dyDescent="0.3"/>
    <row r="88" ht="27.1" customHeight="1" x14ac:dyDescent="0.3"/>
    <row r="89" ht="27.1" customHeight="1" x14ac:dyDescent="0.3"/>
    <row r="90" ht="27.1" customHeight="1" x14ac:dyDescent="0.3"/>
    <row r="91" ht="27.1" customHeight="1" x14ac:dyDescent="0.3"/>
    <row r="92" ht="27.1" customHeight="1" x14ac:dyDescent="0.3"/>
    <row r="93" ht="27.1" customHeight="1" x14ac:dyDescent="0.3"/>
    <row r="94" ht="27.1" customHeight="1" x14ac:dyDescent="0.3"/>
    <row r="95" ht="27.1" customHeight="1" x14ac:dyDescent="0.3"/>
    <row r="96" ht="27.1" customHeight="1" x14ac:dyDescent="0.3"/>
    <row r="97" ht="27.1" customHeight="1" x14ac:dyDescent="0.3"/>
    <row r="98" ht="27.1" customHeight="1" x14ac:dyDescent="0.3"/>
    <row r="99" ht="27.1" customHeight="1" x14ac:dyDescent="0.3"/>
    <row r="100" ht="27.1" customHeight="1" x14ac:dyDescent="0.3"/>
    <row r="101" ht="27.1" customHeight="1" x14ac:dyDescent="0.3"/>
    <row r="102" ht="27.1" customHeight="1" x14ac:dyDescent="0.3"/>
    <row r="103" ht="27.1" customHeight="1" x14ac:dyDescent="0.3"/>
    <row r="104" ht="27.1" customHeight="1" x14ac:dyDescent="0.3"/>
    <row r="105" ht="27.1" customHeight="1" x14ac:dyDescent="0.3"/>
    <row r="106" ht="27.1" customHeight="1" x14ac:dyDescent="0.3"/>
    <row r="107" ht="27.1" customHeight="1" x14ac:dyDescent="0.3"/>
    <row r="108" ht="27.1" customHeight="1" x14ac:dyDescent="0.3"/>
    <row r="109" ht="27.1" customHeight="1" x14ac:dyDescent="0.3"/>
    <row r="110" ht="27.1" customHeight="1" x14ac:dyDescent="0.3"/>
    <row r="111" ht="27.1" customHeight="1" x14ac:dyDescent="0.3"/>
    <row r="112" ht="27.1" customHeight="1" x14ac:dyDescent="0.3"/>
    <row r="113" ht="27.1" customHeight="1" x14ac:dyDescent="0.3"/>
    <row r="114" ht="27.1" customHeight="1" x14ac:dyDescent="0.3"/>
    <row r="115" ht="27.1" customHeight="1" x14ac:dyDescent="0.3"/>
    <row r="116" ht="27.1" customHeight="1" x14ac:dyDescent="0.3"/>
    <row r="117" ht="27.1" customHeight="1" x14ac:dyDescent="0.3"/>
    <row r="118" ht="27.1" customHeight="1" x14ac:dyDescent="0.3"/>
    <row r="119" ht="27.1" customHeight="1" x14ac:dyDescent="0.3"/>
    <row r="120" ht="27.1" customHeight="1" x14ac:dyDescent="0.3"/>
    <row r="121" ht="27.1" customHeight="1" x14ac:dyDescent="0.3"/>
    <row r="122" ht="27.1" customHeight="1" x14ac:dyDescent="0.3"/>
    <row r="123" ht="27.1" customHeight="1" x14ac:dyDescent="0.3"/>
    <row r="124" ht="27.1" customHeight="1" x14ac:dyDescent="0.3"/>
    <row r="125" ht="27.1" customHeight="1" x14ac:dyDescent="0.3"/>
    <row r="126" ht="27.1" customHeight="1" x14ac:dyDescent="0.3"/>
    <row r="127" ht="27.1" customHeight="1" x14ac:dyDescent="0.3"/>
    <row r="128" ht="27.1" customHeight="1" x14ac:dyDescent="0.3"/>
    <row r="129" ht="27.1" customHeight="1" x14ac:dyDescent="0.3"/>
    <row r="130" ht="27.1" customHeight="1" x14ac:dyDescent="0.3"/>
    <row r="131" ht="27.1" customHeight="1" x14ac:dyDescent="0.3"/>
    <row r="132" ht="27.1" customHeight="1" x14ac:dyDescent="0.3"/>
    <row r="133" ht="27.1" customHeight="1" x14ac:dyDescent="0.3"/>
    <row r="134" ht="27.1" customHeight="1" x14ac:dyDescent="0.3"/>
    <row r="135" ht="27.1" customHeight="1" x14ac:dyDescent="0.3"/>
    <row r="136" ht="27.1" customHeight="1" x14ac:dyDescent="0.3"/>
    <row r="137" ht="27.1" customHeight="1" x14ac:dyDescent="0.3"/>
    <row r="138" ht="27.1" customHeight="1" x14ac:dyDescent="0.3"/>
    <row r="139" ht="27.1" customHeight="1" x14ac:dyDescent="0.3"/>
    <row r="140" ht="27.1" customHeight="1" x14ac:dyDescent="0.3"/>
    <row r="141" ht="27.1" customHeight="1" x14ac:dyDescent="0.3"/>
    <row r="142" ht="27.1" customHeight="1" x14ac:dyDescent="0.3"/>
    <row r="143" ht="27.1" customHeight="1" x14ac:dyDescent="0.3"/>
    <row r="144" ht="27.1" customHeight="1" x14ac:dyDescent="0.3"/>
    <row r="145" ht="27.1" customHeight="1" x14ac:dyDescent="0.3"/>
    <row r="146" ht="27.1" customHeight="1" x14ac:dyDescent="0.3"/>
    <row r="147" ht="27.1" customHeight="1" x14ac:dyDescent="0.3"/>
    <row r="148" ht="27.1" customHeight="1" x14ac:dyDescent="0.3"/>
    <row r="149" ht="27.1" customHeight="1" x14ac:dyDescent="0.3"/>
    <row r="150" ht="27.1" customHeight="1" x14ac:dyDescent="0.3"/>
    <row r="151" ht="27.1" customHeight="1" x14ac:dyDescent="0.3"/>
    <row r="152" ht="27.1" customHeight="1" x14ac:dyDescent="0.3"/>
    <row r="153" ht="27.1" customHeight="1" x14ac:dyDescent="0.3"/>
    <row r="154" ht="27.1" customHeight="1" x14ac:dyDescent="0.3"/>
    <row r="155" ht="27.1" customHeight="1" x14ac:dyDescent="0.3"/>
    <row r="156" ht="27.1" customHeight="1" x14ac:dyDescent="0.3"/>
    <row r="157" ht="27.1" customHeight="1" x14ac:dyDescent="0.3"/>
    <row r="158" ht="27.1" customHeight="1" x14ac:dyDescent="0.3"/>
    <row r="159" ht="27.1" customHeight="1" x14ac:dyDescent="0.3"/>
    <row r="160" ht="27.1" customHeight="1" x14ac:dyDescent="0.3"/>
    <row r="161" ht="27.1" customHeight="1" x14ac:dyDescent="0.3"/>
    <row r="162" ht="27.1" customHeight="1" x14ac:dyDescent="0.3"/>
    <row r="163" ht="27.1" customHeight="1" x14ac:dyDescent="0.3"/>
    <row r="164" ht="27.1" customHeight="1" x14ac:dyDescent="0.3"/>
    <row r="165" ht="27.1" customHeight="1" x14ac:dyDescent="0.3"/>
    <row r="166" ht="27.1" customHeight="1" x14ac:dyDescent="0.3"/>
    <row r="167" ht="27.1" customHeight="1" x14ac:dyDescent="0.3"/>
    <row r="168" ht="27.1" customHeight="1" x14ac:dyDescent="0.3"/>
    <row r="169" ht="27.1" customHeight="1" x14ac:dyDescent="0.3"/>
    <row r="170" ht="27.1" customHeight="1" x14ac:dyDescent="0.3"/>
    <row r="171" ht="27.1" customHeight="1" x14ac:dyDescent="0.3"/>
    <row r="172" ht="27.1" customHeight="1" x14ac:dyDescent="0.3"/>
    <row r="173" ht="27.1" customHeight="1" x14ac:dyDescent="0.3"/>
    <row r="174" ht="27.1" customHeight="1" x14ac:dyDescent="0.3"/>
    <row r="175" ht="27.1" customHeight="1" x14ac:dyDescent="0.3"/>
    <row r="176" ht="27.1" customHeight="1" x14ac:dyDescent="0.3"/>
    <row r="177" ht="27.1" customHeight="1" x14ac:dyDescent="0.3"/>
    <row r="178" ht="27.1" customHeight="1" x14ac:dyDescent="0.3"/>
    <row r="179" ht="27.1" customHeight="1" x14ac:dyDescent="0.3"/>
    <row r="180" ht="27.1" customHeight="1" x14ac:dyDescent="0.3"/>
    <row r="181" ht="27.1" customHeight="1" x14ac:dyDescent="0.3"/>
    <row r="182" ht="27.1" customHeight="1" x14ac:dyDescent="0.3"/>
    <row r="183" ht="27.1" customHeight="1" x14ac:dyDescent="0.3"/>
    <row r="184" ht="27.1" customHeight="1" x14ac:dyDescent="0.3"/>
    <row r="185" ht="27.1" customHeight="1" x14ac:dyDescent="0.3"/>
    <row r="186" ht="27.1" customHeight="1" x14ac:dyDescent="0.3"/>
    <row r="187" ht="27.1" customHeight="1" x14ac:dyDescent="0.3"/>
    <row r="188" ht="27.1" customHeight="1" x14ac:dyDescent="0.3"/>
    <row r="189" ht="27.1" customHeight="1" x14ac:dyDescent="0.3"/>
    <row r="190" ht="27.1" customHeight="1" x14ac:dyDescent="0.3"/>
    <row r="191" ht="27.1" customHeight="1" x14ac:dyDescent="0.3"/>
    <row r="192" ht="27.1" customHeight="1" x14ac:dyDescent="0.3"/>
    <row r="193" ht="27.1" customHeight="1" x14ac:dyDescent="0.3"/>
    <row r="194" ht="27.1" customHeight="1" x14ac:dyDescent="0.3"/>
    <row r="195" ht="27.1" customHeight="1" x14ac:dyDescent="0.3"/>
    <row r="196" ht="27.1" customHeight="1" x14ac:dyDescent="0.3"/>
    <row r="197" ht="27.1" customHeight="1" x14ac:dyDescent="0.3"/>
    <row r="198" ht="27.1" customHeight="1" x14ac:dyDescent="0.3"/>
    <row r="199" ht="27.1" customHeight="1" x14ac:dyDescent="0.3"/>
    <row r="200" ht="27.1" customHeight="1" x14ac:dyDescent="0.3"/>
    <row r="201" ht="27.1" customHeight="1" x14ac:dyDescent="0.3"/>
    <row r="202" ht="27.1" customHeight="1" x14ac:dyDescent="0.3"/>
    <row r="203" ht="27.1" customHeight="1" x14ac:dyDescent="0.3"/>
    <row r="204" ht="27.1" customHeight="1" x14ac:dyDescent="0.3"/>
    <row r="205" ht="27.1" customHeight="1" x14ac:dyDescent="0.3"/>
    <row r="206" ht="27.1" customHeight="1" x14ac:dyDescent="0.3"/>
    <row r="207" ht="27.1" customHeight="1" x14ac:dyDescent="0.3"/>
    <row r="208" ht="27.1" customHeight="1" x14ac:dyDescent="0.3"/>
    <row r="209" ht="27.1" customHeight="1" x14ac:dyDescent="0.3"/>
    <row r="210" ht="27.1" customHeight="1" x14ac:dyDescent="0.3"/>
    <row r="211" ht="27.1" customHeight="1" x14ac:dyDescent="0.3"/>
    <row r="212" ht="27.1" customHeight="1" x14ac:dyDescent="0.3"/>
    <row r="213" ht="27.1" customHeight="1" x14ac:dyDescent="0.3"/>
    <row r="214" ht="27.1" customHeight="1" x14ac:dyDescent="0.3"/>
    <row r="215" ht="27.1" customHeight="1" x14ac:dyDescent="0.3"/>
    <row r="216" ht="27.1" customHeight="1" x14ac:dyDescent="0.3"/>
    <row r="217" ht="27.1" customHeight="1" x14ac:dyDescent="0.3"/>
    <row r="218" ht="27.1" customHeight="1" x14ac:dyDescent="0.3"/>
    <row r="219" ht="27.1" customHeight="1" x14ac:dyDescent="0.3"/>
    <row r="220" ht="27.1" customHeight="1" x14ac:dyDescent="0.3"/>
    <row r="221" ht="27.1" customHeight="1" x14ac:dyDescent="0.3"/>
    <row r="222" ht="27.1" customHeight="1" x14ac:dyDescent="0.3"/>
    <row r="223" ht="27.1" customHeight="1" x14ac:dyDescent="0.3"/>
    <row r="224" ht="27.1" customHeight="1" x14ac:dyDescent="0.3"/>
    <row r="225" ht="27.1" customHeight="1" x14ac:dyDescent="0.3"/>
    <row r="226" ht="27.1" customHeight="1" x14ac:dyDescent="0.3"/>
    <row r="227" ht="27.1" customHeight="1" x14ac:dyDescent="0.3"/>
    <row r="228" ht="27.1" customHeight="1" x14ac:dyDescent="0.3"/>
    <row r="229" ht="27.1" customHeight="1" x14ac:dyDescent="0.3"/>
    <row r="230" ht="27.1" customHeight="1" x14ac:dyDescent="0.3"/>
  </sheetData>
  <phoneticPr fontId="8" type="noConversion"/>
  <conditionalFormatting sqref="N3:N8">
    <cfRule type="cellIs" dxfId="5" priority="1" operator="greaterThan">
      <formula>$N$3</formula>
    </cfRule>
  </conditionalFormatting>
  <conditionalFormatting sqref="Q11:Q70">
    <cfRule type="cellIs" dxfId="4" priority="2" operator="equal">
      <formula>"미진행"</formula>
    </cfRule>
  </conditionalFormatting>
  <conditionalFormatting sqref="U10">
    <cfRule type="cellIs" dxfId="3" priority="3" operator="equal">
      <formula>"파리"</formula>
    </cfRule>
  </conditionalFormatting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153CA-F6C8-4776-AB44-4EC8185D761B}">
  <dimension ref="C18:P33"/>
  <sheetViews>
    <sheetView workbookViewId="0">
      <selection activeCell="G19" sqref="G19"/>
    </sheetView>
  </sheetViews>
  <sheetFormatPr defaultRowHeight="15.7" x14ac:dyDescent="0.3"/>
  <sheetData>
    <row r="18" spans="3:16" x14ac:dyDescent="0.3">
      <c r="C18" t="s">
        <v>81</v>
      </c>
      <c r="D18" t="s">
        <v>91</v>
      </c>
      <c r="E18" t="s">
        <v>83</v>
      </c>
      <c r="F18" t="s">
        <v>97</v>
      </c>
      <c r="G18" t="s">
        <v>71</v>
      </c>
      <c r="H18" t="s">
        <v>79</v>
      </c>
      <c r="I18" t="s">
        <v>89</v>
      </c>
      <c r="J18" t="s">
        <v>95</v>
      </c>
      <c r="K18" t="s">
        <v>75</v>
      </c>
      <c r="L18" t="s">
        <v>87</v>
      </c>
      <c r="M18" t="s">
        <v>77</v>
      </c>
      <c r="N18" t="s">
        <v>93</v>
      </c>
      <c r="O18" t="s">
        <v>73</v>
      </c>
      <c r="P18" t="s">
        <v>85</v>
      </c>
    </row>
    <row r="20" spans="3:16" x14ac:dyDescent="0.3">
      <c r="D20" t="s">
        <v>81</v>
      </c>
    </row>
    <row r="21" spans="3:16" x14ac:dyDescent="0.3">
      <c r="D21" t="s">
        <v>91</v>
      </c>
    </row>
    <row r="22" spans="3:16" x14ac:dyDescent="0.3">
      <c r="D22" t="s">
        <v>83</v>
      </c>
    </row>
    <row r="23" spans="3:16" x14ac:dyDescent="0.3">
      <c r="D23" t="s">
        <v>97</v>
      </c>
    </row>
    <row r="24" spans="3:16" x14ac:dyDescent="0.3">
      <c r="D24" t="s">
        <v>71</v>
      </c>
    </row>
    <row r="25" spans="3:16" x14ac:dyDescent="0.3">
      <c r="D25" t="s">
        <v>79</v>
      </c>
    </row>
    <row r="26" spans="3:16" x14ac:dyDescent="0.3">
      <c r="D26" t="s">
        <v>89</v>
      </c>
    </row>
    <row r="27" spans="3:16" x14ac:dyDescent="0.3">
      <c r="D27" t="s">
        <v>95</v>
      </c>
    </row>
    <row r="28" spans="3:16" x14ac:dyDescent="0.3">
      <c r="D28" t="s">
        <v>75</v>
      </c>
    </row>
    <row r="29" spans="3:16" x14ac:dyDescent="0.3">
      <c r="D29" t="s">
        <v>87</v>
      </c>
    </row>
    <row r="30" spans="3:16" x14ac:dyDescent="0.3">
      <c r="D30" t="s">
        <v>77</v>
      </c>
    </row>
    <row r="31" spans="3:16" x14ac:dyDescent="0.3">
      <c r="D31" t="s">
        <v>93</v>
      </c>
    </row>
    <row r="32" spans="3:16" x14ac:dyDescent="0.3">
      <c r="D32" t="s">
        <v>73</v>
      </c>
    </row>
    <row r="33" spans="4:4" x14ac:dyDescent="0.3">
      <c r="D33" t="s">
        <v>85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C2386-0C13-47A5-8323-782976708D5C}">
  <dimension ref="A2:U218"/>
  <sheetViews>
    <sheetView topLeftCell="E1" zoomScale="130" zoomScaleNormal="130" workbookViewId="0">
      <selection activeCell="G19" sqref="G19"/>
    </sheetView>
  </sheetViews>
  <sheetFormatPr defaultRowHeight="15.7" x14ac:dyDescent="0.3"/>
  <cols>
    <col min="1" max="3" width="10" customWidth="1"/>
    <col min="4" max="4" width="9" style="1"/>
    <col min="5" max="6" width="5.5" style="1" customWidth="1"/>
    <col min="7" max="7" width="9" style="1"/>
    <col min="9" max="12" width="9" customWidth="1"/>
    <col min="13" max="13" width="15.125" bestFit="1" customWidth="1"/>
    <col min="14" max="17" width="9" customWidth="1"/>
  </cols>
  <sheetData>
    <row r="2" spans="1:21" hidden="1" x14ac:dyDescent="0.3">
      <c r="A2" s="1"/>
      <c r="B2" s="1"/>
      <c r="L2" s="1" t="s">
        <v>4</v>
      </c>
      <c r="M2" s="1" t="s">
        <v>2</v>
      </c>
      <c r="N2" s="1" t="s">
        <v>10</v>
      </c>
    </row>
    <row r="3" spans="1:21" x14ac:dyDescent="0.3">
      <c r="A3" s="1"/>
      <c r="C3" s="1" t="s">
        <v>30</v>
      </c>
      <c r="D3" s="1" t="s">
        <v>27</v>
      </c>
      <c r="E3" s="1" t="s">
        <v>28</v>
      </c>
      <c r="F3" s="1" t="s">
        <v>3</v>
      </c>
      <c r="G3" s="1" t="s">
        <v>1</v>
      </c>
      <c r="H3" s="1" t="s">
        <v>9</v>
      </c>
      <c r="I3" s="1" t="s">
        <v>21</v>
      </c>
      <c r="J3" s="1" t="s">
        <v>23</v>
      </c>
      <c r="K3" s="1" t="s">
        <v>25</v>
      </c>
      <c r="M3" s="1" t="s">
        <v>30</v>
      </c>
      <c r="N3" s="1" t="s">
        <v>27</v>
      </c>
      <c r="O3" s="1" t="s">
        <v>28</v>
      </c>
      <c r="P3" s="1" t="s">
        <v>3</v>
      </c>
      <c r="Q3" s="1" t="s">
        <v>1</v>
      </c>
      <c r="R3" s="1" t="s">
        <v>9</v>
      </c>
      <c r="S3" s="1" t="s">
        <v>21</v>
      </c>
      <c r="T3" s="1" t="s">
        <v>23</v>
      </c>
      <c r="U3" s="1" t="s">
        <v>25</v>
      </c>
    </row>
    <row r="4" spans="1:21" x14ac:dyDescent="0.3">
      <c r="A4" s="1"/>
      <c r="C4" s="1" t="s">
        <v>78</v>
      </c>
      <c r="D4" s="1">
        <f>표1부리그[[#This Row],[승]]*3+표1부리그[[#This Row],[무]]</f>
        <v>0</v>
      </c>
      <c r="E4" s="1">
        <f>표1부리그[[#This Row],[승]]+표1부리그[[#This Row],[무]]+표1부리그[[#This Row],[패]]</f>
        <v>0</v>
      </c>
      <c r="F4" s="1">
        <f>COUNTIFS(표1부리그경기결과[팀],표1부리그[[#This Row],[팀]],표1부리그경기결과[결과],$L$2)</f>
        <v>0</v>
      </c>
      <c r="G4" s="1">
        <f>COUNTIFS(표1부리그경기결과[팀],표1부리그[[#This Row],[팀]],표1부리그경기결과[결과],$M$2)</f>
        <v>0</v>
      </c>
      <c r="H4" s="1">
        <f>COUNTIFS(표1부리그경기결과[팀],표1부리그[[#This Row],[팀]],표1부리그경기결과[결과],$N$2)</f>
        <v>0</v>
      </c>
      <c r="I4" s="1">
        <f>SUMIFS(표1부리그경기결과[득점],표1부리그경기결과[팀],표1부리그[[#This Row],[팀]])</f>
        <v>0</v>
      </c>
      <c r="J4" s="1">
        <f>SUMIFS(표1부리그경기결과[실점],표1부리그경기결과[팀],표1부리그[[#This Row],[팀]])</f>
        <v>0</v>
      </c>
      <c r="K4" s="1">
        <f>표1부리그[[#This Row],[득점]]-표1부리그[[#This Row],[실점]]</f>
        <v>0</v>
      </c>
      <c r="M4" s="1" t="s">
        <v>91</v>
      </c>
      <c r="N4" s="1">
        <f>표2부리그[[#This Row],[승]]*3+표2부리그[[#This Row],[무]]</f>
        <v>6</v>
      </c>
      <c r="O4" s="1">
        <f>표2부리그[[#This Row],[승]]+표2부리그[[#This Row],[무]]+표2부리그[[#This Row],[패]]</f>
        <v>10</v>
      </c>
      <c r="P4" s="1">
        <f>COUNTIFS(표100[팀],표2부리그[[#This Row],[팀]],표100[결과],$L$2)</f>
        <v>1</v>
      </c>
      <c r="Q4" s="1">
        <f>COUNTIFS(표100[팀],표2부리그[[#This Row],[팀]],표100[결과],$M$2)</f>
        <v>3</v>
      </c>
      <c r="R4" s="1">
        <f>COUNTIFS(표100[팀],표2부리그[[#This Row],[팀]],표100[결과],$N$2)</f>
        <v>6</v>
      </c>
      <c r="S4" s="1">
        <f>SUMIFS(표100[득점],표100[팀],표2부리그[[#This Row],[팀]])</f>
        <v>13</v>
      </c>
      <c r="T4" s="1">
        <f>SUMIFS(표100[실점],표100[팀],표2부리그[[#This Row],[팀]])</f>
        <v>25</v>
      </c>
      <c r="U4" s="1">
        <f>표2부리그[[#This Row],[득점]]-표2부리그[[#This Row],[실점]]</f>
        <v>-12</v>
      </c>
    </row>
    <row r="5" spans="1:21" x14ac:dyDescent="0.3">
      <c r="A5" s="1"/>
      <c r="C5" s="1" t="s">
        <v>96</v>
      </c>
      <c r="D5" s="1">
        <f>표1부리그[[#This Row],[승]]*3+표1부리그[[#This Row],[무]]</f>
        <v>0</v>
      </c>
      <c r="E5" s="1">
        <f>표1부리그[[#This Row],[승]]+표1부리그[[#This Row],[무]]+표1부리그[[#This Row],[패]]</f>
        <v>0</v>
      </c>
      <c r="F5" s="1">
        <f>COUNTIFS(표1부리그경기결과[팀],표1부리그[[#This Row],[팀]],표1부리그경기결과[결과],$L$2)</f>
        <v>0</v>
      </c>
      <c r="G5" s="1">
        <f>COUNTIFS(표1부리그경기결과[팀],표1부리그[[#This Row],[팀]],표1부리그경기결과[결과],$M$2)</f>
        <v>0</v>
      </c>
      <c r="H5" s="1">
        <f>COUNTIFS(표1부리그경기결과[팀],표1부리그[[#This Row],[팀]],표1부리그경기결과[결과],$N$2)</f>
        <v>0</v>
      </c>
      <c r="I5" s="1">
        <f>SUMIFS(표1부리그경기결과[득점],표1부리그경기결과[팀],표1부리그[[#This Row],[팀]])</f>
        <v>0</v>
      </c>
      <c r="J5" s="1">
        <f>SUMIFS(표1부리그경기결과[실점],표1부리그경기결과[팀],표1부리그[[#This Row],[팀]])</f>
        <v>0</v>
      </c>
      <c r="K5" s="1">
        <f>표1부리그[[#This Row],[득점]]-표1부리그[[#This Row],[실점]]</f>
        <v>0</v>
      </c>
      <c r="M5" s="1" t="s">
        <v>71</v>
      </c>
      <c r="N5" s="1">
        <f>표2부리그[[#This Row],[승]]*3+표2부리그[[#This Row],[무]]</f>
        <v>5</v>
      </c>
      <c r="O5" s="1">
        <f>표2부리그[[#This Row],[승]]+표2부리그[[#This Row],[무]]+표2부리그[[#This Row],[패]]</f>
        <v>8</v>
      </c>
      <c r="P5" s="1">
        <f>COUNTIFS(표100[팀],표2부리그[[#This Row],[팀]],표100[결과],$L$2)</f>
        <v>1</v>
      </c>
      <c r="Q5" s="1">
        <f>COUNTIFS(표100[팀],표2부리그[[#This Row],[팀]],표100[결과],$M$2)</f>
        <v>2</v>
      </c>
      <c r="R5" s="1">
        <f>COUNTIFS(표100[팀],표2부리그[[#This Row],[팀]],표100[결과],$N$2)</f>
        <v>5</v>
      </c>
      <c r="S5" s="1">
        <f>SUMIFS(표100[득점],표100[팀],표2부리그[[#This Row],[팀]])</f>
        <v>8</v>
      </c>
      <c r="T5" s="1">
        <f>SUMIFS(표100[실점],표100[팀],표2부리그[[#This Row],[팀]])</f>
        <v>20</v>
      </c>
      <c r="U5" s="1">
        <f>표2부리그[[#This Row],[득점]]-표2부리그[[#This Row],[실점]]</f>
        <v>-12</v>
      </c>
    </row>
    <row r="6" spans="1:21" x14ac:dyDescent="0.3">
      <c r="A6" s="1"/>
      <c r="C6" s="1" t="s">
        <v>94</v>
      </c>
      <c r="D6" s="1">
        <f>표1부리그[[#This Row],[승]]*3+표1부리그[[#This Row],[무]]</f>
        <v>0</v>
      </c>
      <c r="E6" s="1">
        <f>표1부리그[[#This Row],[승]]+표1부리그[[#This Row],[무]]+표1부리그[[#This Row],[패]]</f>
        <v>0</v>
      </c>
      <c r="F6" s="1">
        <f>COUNTIFS(표1부리그경기결과[팀],표1부리그[[#This Row],[팀]],표1부리그경기결과[결과],$L$2)</f>
        <v>0</v>
      </c>
      <c r="G6" s="1">
        <f>COUNTIFS(표1부리그경기결과[팀],표1부리그[[#This Row],[팀]],표1부리그경기결과[결과],$M$2)</f>
        <v>0</v>
      </c>
      <c r="H6" s="1">
        <f>COUNTIFS(표1부리그경기결과[팀],표1부리그[[#This Row],[팀]],표1부리그경기결과[결과],$N$2)</f>
        <v>0</v>
      </c>
      <c r="I6" s="1">
        <f>SUMIFS(표1부리그경기결과[득점],표1부리그경기결과[팀],표1부리그[[#This Row],[팀]])</f>
        <v>0</v>
      </c>
      <c r="J6" s="1">
        <f>SUMIFS(표1부리그경기결과[실점],표1부리그경기결과[팀],표1부리그[[#This Row],[팀]])</f>
        <v>0</v>
      </c>
      <c r="K6" s="1">
        <f>표1부리그[[#This Row],[득점]]-표1부리그[[#This Row],[실점]]</f>
        <v>0</v>
      </c>
      <c r="M6" s="1" t="s">
        <v>89</v>
      </c>
      <c r="N6" s="1">
        <f>표2부리그[[#This Row],[승]]*3+표2부리그[[#This Row],[무]]</f>
        <v>14</v>
      </c>
      <c r="O6" s="1">
        <f>표2부리그[[#This Row],[승]]+표2부리그[[#This Row],[무]]+표2부리그[[#This Row],[패]]</f>
        <v>10</v>
      </c>
      <c r="P6" s="1">
        <f>COUNTIFS(표100[팀],표2부리그[[#This Row],[팀]],표100[결과],$L$2)</f>
        <v>4</v>
      </c>
      <c r="Q6" s="1">
        <f>COUNTIFS(표100[팀],표2부리그[[#This Row],[팀]],표100[결과],$M$2)</f>
        <v>2</v>
      </c>
      <c r="R6" s="1">
        <f>COUNTIFS(표100[팀],표2부리그[[#This Row],[팀]],표100[결과],$N$2)</f>
        <v>4</v>
      </c>
      <c r="S6" s="1">
        <f>SUMIFS(표100[득점],표100[팀],표2부리그[[#This Row],[팀]])</f>
        <v>24</v>
      </c>
      <c r="T6" s="1">
        <f>SUMIFS(표100[실점],표100[팀],표2부리그[[#This Row],[팀]])</f>
        <v>28</v>
      </c>
      <c r="U6" s="1">
        <f>표2부리그[[#This Row],[득점]]-표2부리그[[#This Row],[실점]]</f>
        <v>-4</v>
      </c>
    </row>
    <row r="7" spans="1:21" x14ac:dyDescent="0.3">
      <c r="A7" s="1"/>
      <c r="C7" s="1" t="s">
        <v>80</v>
      </c>
      <c r="D7" s="1">
        <f>표1부리그[[#This Row],[승]]*3+표1부리그[[#This Row],[무]]</f>
        <v>0</v>
      </c>
      <c r="E7" s="1">
        <f>표1부리그[[#This Row],[승]]+표1부리그[[#This Row],[무]]+표1부리그[[#This Row],[패]]</f>
        <v>0</v>
      </c>
      <c r="F7" s="1">
        <f>COUNTIFS(표1부리그경기결과[팀],표1부리그[[#This Row],[팀]],표1부리그경기결과[결과],$L$2)</f>
        <v>0</v>
      </c>
      <c r="G7" s="1">
        <f>COUNTIFS(표1부리그경기결과[팀],표1부리그[[#This Row],[팀]],표1부리그경기결과[결과],$M$2)</f>
        <v>0</v>
      </c>
      <c r="H7" s="1">
        <f>COUNTIFS(표1부리그경기결과[팀],표1부리그[[#This Row],[팀]],표1부리그경기결과[결과],$N$2)</f>
        <v>0</v>
      </c>
      <c r="I7" s="1">
        <f>SUMIFS(표1부리그경기결과[득점],표1부리그경기결과[팀],표1부리그[[#This Row],[팀]])</f>
        <v>0</v>
      </c>
      <c r="J7" s="1">
        <f>SUMIFS(표1부리그경기결과[실점],표1부리그경기결과[팀],표1부리그[[#This Row],[팀]])</f>
        <v>0</v>
      </c>
      <c r="K7" s="1">
        <f>표1부리그[[#This Row],[득점]]-표1부리그[[#This Row],[실점]]</f>
        <v>0</v>
      </c>
      <c r="M7" s="1" t="s">
        <v>83</v>
      </c>
      <c r="N7" s="1">
        <f>표2부리그[[#This Row],[승]]*3+표2부리그[[#This Row],[무]]</f>
        <v>34</v>
      </c>
      <c r="O7" s="1">
        <f>표2부리그[[#This Row],[승]]+표2부리그[[#This Row],[무]]+표2부리그[[#This Row],[패]]</f>
        <v>14</v>
      </c>
      <c r="P7" s="1">
        <f>COUNTIFS(표100[팀],표2부리그[[#This Row],[팀]],표100[결과],$L$2)</f>
        <v>11</v>
      </c>
      <c r="Q7" s="1">
        <f>COUNTIFS(표100[팀],표2부리그[[#This Row],[팀]],표100[결과],$M$2)</f>
        <v>1</v>
      </c>
      <c r="R7" s="1">
        <f>COUNTIFS(표100[팀],표2부리그[[#This Row],[팀]],표100[결과],$N$2)</f>
        <v>2</v>
      </c>
      <c r="S7" s="1">
        <f>SUMIFS(표100[득점],표100[팀],표2부리그[[#This Row],[팀]])</f>
        <v>39</v>
      </c>
      <c r="T7" s="1">
        <f>SUMIFS(표100[실점],표100[팀],표2부리그[[#This Row],[팀]])</f>
        <v>19</v>
      </c>
      <c r="U7" s="1">
        <f>표2부리그[[#This Row],[득점]]-표2부리그[[#This Row],[실점]]</f>
        <v>20</v>
      </c>
    </row>
    <row r="8" spans="1:21" x14ac:dyDescent="0.3">
      <c r="A8" s="1"/>
      <c r="C8" s="1" t="s">
        <v>86</v>
      </c>
      <c r="D8" s="1">
        <f>표1부리그[[#This Row],[승]]*3+표1부리그[[#This Row],[무]]</f>
        <v>0</v>
      </c>
      <c r="E8" s="1">
        <f>표1부리그[[#This Row],[승]]+표1부리그[[#This Row],[무]]+표1부리그[[#This Row],[패]]</f>
        <v>0</v>
      </c>
      <c r="F8" s="1">
        <f>COUNTIFS(표1부리그경기결과[팀],표1부리그[[#This Row],[팀]],표1부리그경기결과[결과],$L$2)</f>
        <v>0</v>
      </c>
      <c r="G8" s="1">
        <f>COUNTIFS(표1부리그경기결과[팀],표1부리그[[#This Row],[팀]],표1부리그경기결과[결과],$M$2)</f>
        <v>0</v>
      </c>
      <c r="H8" s="1">
        <f>COUNTIFS(표1부리그경기결과[팀],표1부리그[[#This Row],[팀]],표1부리그경기결과[결과],$N$2)</f>
        <v>0</v>
      </c>
      <c r="I8" s="1">
        <f>SUMIFS(표1부리그경기결과[득점],표1부리그경기결과[팀],표1부리그[[#This Row],[팀]])</f>
        <v>0</v>
      </c>
      <c r="J8" s="1">
        <f>SUMIFS(표1부리그경기결과[실점],표1부리그경기결과[팀],표1부리그[[#This Row],[팀]])</f>
        <v>0</v>
      </c>
      <c r="K8" s="1">
        <f>표1부리그[[#This Row],[득점]]-표1부리그[[#This Row],[실점]]</f>
        <v>0</v>
      </c>
      <c r="M8" s="1" t="s">
        <v>73</v>
      </c>
      <c r="N8" s="1">
        <f>표2부리그[[#This Row],[승]]*3+표2부리그[[#This Row],[무]]</f>
        <v>9</v>
      </c>
      <c r="O8" s="1">
        <f>표2부리그[[#This Row],[승]]+표2부리그[[#This Row],[무]]+표2부리그[[#This Row],[패]]</f>
        <v>8</v>
      </c>
      <c r="P8" s="1">
        <f>COUNTIFS(표100[팀],표2부리그[[#This Row],[팀]],표100[결과],$L$2)</f>
        <v>2</v>
      </c>
      <c r="Q8" s="1">
        <f>COUNTIFS(표100[팀],표2부리그[[#This Row],[팀]],표100[결과],$M$2)</f>
        <v>3</v>
      </c>
      <c r="R8" s="1">
        <f>COUNTIFS(표100[팀],표2부리그[[#This Row],[팀]],표100[결과],$N$2)</f>
        <v>3</v>
      </c>
      <c r="S8" s="1">
        <f>SUMIFS(표100[득점],표100[팀],표2부리그[[#This Row],[팀]])</f>
        <v>16</v>
      </c>
      <c r="T8" s="1">
        <f>SUMIFS(표100[실점],표100[팀],표2부리그[[#This Row],[팀]])</f>
        <v>19</v>
      </c>
      <c r="U8" s="1">
        <f>표2부리그[[#This Row],[득점]]-표2부리그[[#This Row],[실점]]</f>
        <v>-3</v>
      </c>
    </row>
    <row r="9" spans="1:21" x14ac:dyDescent="0.3">
      <c r="A9" s="1"/>
      <c r="C9" s="1" t="s">
        <v>98</v>
      </c>
      <c r="D9" s="1">
        <f>표1부리그[[#This Row],[승]]*3+표1부리그[[#This Row],[무]]</f>
        <v>0</v>
      </c>
      <c r="E9" s="1">
        <f>표1부리그[[#This Row],[승]]+표1부리그[[#This Row],[무]]+표1부리그[[#This Row],[패]]</f>
        <v>0</v>
      </c>
      <c r="F9" s="1">
        <f>COUNTIFS(표1부리그경기결과[팀],표1부리그[[#This Row],[팀]],표1부리그경기결과[결과],$L$2)</f>
        <v>0</v>
      </c>
      <c r="G9" s="1">
        <f>COUNTIFS(표1부리그경기결과[팀],표1부리그[[#This Row],[팀]],표1부리그경기결과[결과],$M$2)</f>
        <v>0</v>
      </c>
      <c r="H9" s="1">
        <f>COUNTIFS(표1부리그경기결과[팀],표1부리그[[#This Row],[팀]],표1부리그경기결과[결과],$N$2)</f>
        <v>0</v>
      </c>
      <c r="I9" s="1">
        <f>SUMIFS(표1부리그경기결과[득점],표1부리그경기결과[팀],표1부리그[[#This Row],[팀]])</f>
        <v>0</v>
      </c>
      <c r="J9" s="1">
        <f>SUMIFS(표1부리그경기결과[실점],표1부리그경기결과[팀],표1부리그[[#This Row],[팀]])</f>
        <v>0</v>
      </c>
      <c r="K9" s="1">
        <f>표1부리그[[#This Row],[득점]]-표1부리그[[#This Row],[실점]]</f>
        <v>0</v>
      </c>
      <c r="M9" s="1" t="s">
        <v>87</v>
      </c>
      <c r="N9" s="1">
        <f>표2부리그[[#This Row],[승]]*3+표2부리그[[#This Row],[무]]</f>
        <v>3</v>
      </c>
      <c r="O9" s="1">
        <f>표2부리그[[#This Row],[승]]+표2부리그[[#This Row],[무]]+표2부리그[[#This Row],[패]]</f>
        <v>8</v>
      </c>
      <c r="P9" s="1">
        <f>COUNTIFS(표100[팀],표2부리그[[#This Row],[팀]],표100[결과],$L$2)</f>
        <v>1</v>
      </c>
      <c r="Q9" s="1">
        <f>COUNTIFS(표100[팀],표2부리그[[#This Row],[팀]],표100[결과],$M$2)</f>
        <v>0</v>
      </c>
      <c r="R9" s="1">
        <f>COUNTIFS(표100[팀],표2부리그[[#This Row],[팀]],표100[결과],$N$2)</f>
        <v>7</v>
      </c>
      <c r="S9" s="1">
        <f>SUMIFS(표100[득점],표100[팀],표2부리그[[#This Row],[팀]])</f>
        <v>7</v>
      </c>
      <c r="T9" s="1">
        <f>SUMIFS(표100[실점],표100[팀],표2부리그[[#This Row],[팀]])</f>
        <v>23</v>
      </c>
      <c r="U9" s="1">
        <f>표2부리그[[#This Row],[득점]]-표2부리그[[#This Row],[실점]]</f>
        <v>-16</v>
      </c>
    </row>
    <row r="10" spans="1:21" x14ac:dyDescent="0.3">
      <c r="A10" s="1"/>
      <c r="H10" s="84"/>
      <c r="M10" s="1" t="s">
        <v>75</v>
      </c>
      <c r="N10" s="1">
        <f>표2부리그[[#This Row],[승]]*3+표2부리그[[#This Row],[무]]</f>
        <v>3</v>
      </c>
      <c r="O10" s="1">
        <f>표2부리그[[#This Row],[승]]+표2부리그[[#This Row],[무]]+표2부리그[[#This Row],[패]]</f>
        <v>2</v>
      </c>
      <c r="P10" s="1">
        <f>COUNTIFS(표100[팀],표2부리그[[#This Row],[팀]],표100[결과],$L$2)</f>
        <v>1</v>
      </c>
      <c r="Q10" s="1">
        <f>COUNTIFS(표100[팀],표2부리그[[#This Row],[팀]],표100[결과],$M$2)</f>
        <v>0</v>
      </c>
      <c r="R10" s="1">
        <f>COUNTIFS(표100[팀],표2부리그[[#This Row],[팀]],표100[결과],$N$2)</f>
        <v>1</v>
      </c>
      <c r="S10" s="1">
        <f>SUMIFS(표100[득점],표100[팀],표2부리그[[#This Row],[팀]])</f>
        <v>2</v>
      </c>
      <c r="T10" s="1">
        <f>SUMIFS(표100[실점],표100[팀],표2부리그[[#This Row],[팀]])</f>
        <v>2</v>
      </c>
      <c r="U10" s="1">
        <f>표2부리그[[#This Row],[득점]]-표2부리그[[#This Row],[실점]]</f>
        <v>0</v>
      </c>
    </row>
    <row r="11" spans="1:21" x14ac:dyDescent="0.3">
      <c r="A11" s="1"/>
      <c r="H11" s="84"/>
      <c r="M11" s="1" t="s">
        <v>81</v>
      </c>
      <c r="N11" s="1">
        <f>표2부리그[[#This Row],[승]]*3+표2부리그[[#This Row],[무]]</f>
        <v>28</v>
      </c>
      <c r="O11" s="1">
        <f>표2부리그[[#This Row],[승]]+표2부리그[[#This Row],[무]]+표2부리그[[#This Row],[패]]</f>
        <v>12</v>
      </c>
      <c r="P11" s="1">
        <f>COUNTIFS(표100[팀],표2부리그[[#This Row],[팀]],표100[결과],$L$2)</f>
        <v>9</v>
      </c>
      <c r="Q11" s="1">
        <f>COUNTIFS(표100[팀],표2부리그[[#This Row],[팀]],표100[결과],$M$2)</f>
        <v>1</v>
      </c>
      <c r="R11" s="1">
        <f>COUNTIFS(표100[팀],표2부리그[[#This Row],[팀]],표100[결과],$N$2)</f>
        <v>2</v>
      </c>
      <c r="S11" s="1">
        <f>SUMIFS(표100[득점],표100[팀],표2부리그[[#This Row],[팀]])</f>
        <v>47</v>
      </c>
      <c r="T11" s="1">
        <f>SUMIFS(표100[실점],표100[팀],표2부리그[[#This Row],[팀]])</f>
        <v>20</v>
      </c>
      <c r="U11" s="1">
        <f>표2부리그[[#This Row],[득점]]-표2부리그[[#This Row],[실점]]</f>
        <v>27</v>
      </c>
    </row>
    <row r="12" spans="1:21" x14ac:dyDescent="0.3">
      <c r="A12" s="1"/>
      <c r="H12" s="84"/>
    </row>
    <row r="13" spans="1:21" x14ac:dyDescent="0.3">
      <c r="H13" s="84"/>
    </row>
    <row r="14" spans="1:21" x14ac:dyDescent="0.3">
      <c r="H14" s="84"/>
    </row>
    <row r="15" spans="1:21" x14ac:dyDescent="0.3">
      <c r="H15" s="84"/>
    </row>
    <row r="16" spans="1:21" x14ac:dyDescent="0.3">
      <c r="H16" s="84"/>
    </row>
    <row r="17" spans="8:8" x14ac:dyDescent="0.3">
      <c r="H17" s="84"/>
    </row>
    <row r="18" spans="8:8" x14ac:dyDescent="0.3">
      <c r="H18" s="84"/>
    </row>
    <row r="19" spans="8:8" x14ac:dyDescent="0.3">
      <c r="H19" s="84"/>
    </row>
    <row r="20" spans="8:8" x14ac:dyDescent="0.3">
      <c r="H20" s="84"/>
    </row>
    <row r="21" spans="8:8" x14ac:dyDescent="0.3">
      <c r="H21" s="84"/>
    </row>
    <row r="22" spans="8:8" x14ac:dyDescent="0.3">
      <c r="H22" s="84"/>
    </row>
    <row r="23" spans="8:8" x14ac:dyDescent="0.3">
      <c r="H23" s="84"/>
    </row>
    <row r="24" spans="8:8" x14ac:dyDescent="0.3">
      <c r="H24" s="84"/>
    </row>
    <row r="25" spans="8:8" x14ac:dyDescent="0.3">
      <c r="H25" s="84"/>
    </row>
    <row r="26" spans="8:8" x14ac:dyDescent="0.3">
      <c r="H26" s="84"/>
    </row>
    <row r="27" spans="8:8" x14ac:dyDescent="0.3">
      <c r="H27" s="84"/>
    </row>
    <row r="28" spans="8:8" x14ac:dyDescent="0.3">
      <c r="H28" s="84"/>
    </row>
    <row r="29" spans="8:8" x14ac:dyDescent="0.3">
      <c r="H29" s="84"/>
    </row>
    <row r="30" spans="8:8" x14ac:dyDescent="0.3">
      <c r="H30" s="84"/>
    </row>
    <row r="31" spans="8:8" x14ac:dyDescent="0.3">
      <c r="H31" s="84"/>
    </row>
    <row r="32" spans="8:8" x14ac:dyDescent="0.3">
      <c r="H32" s="84"/>
    </row>
    <row r="33" spans="8:8" x14ac:dyDescent="0.3">
      <c r="H33" s="84"/>
    </row>
    <row r="34" spans="8:8" x14ac:dyDescent="0.3">
      <c r="H34" s="84"/>
    </row>
    <row r="35" spans="8:8" x14ac:dyDescent="0.3">
      <c r="H35" s="84"/>
    </row>
    <row r="36" spans="8:8" x14ac:dyDescent="0.3">
      <c r="H36" s="84"/>
    </row>
    <row r="37" spans="8:8" x14ac:dyDescent="0.3">
      <c r="H37" s="84"/>
    </row>
    <row r="38" spans="8:8" x14ac:dyDescent="0.3">
      <c r="H38" s="84"/>
    </row>
    <row r="39" spans="8:8" x14ac:dyDescent="0.3">
      <c r="H39" s="84"/>
    </row>
    <row r="40" spans="8:8" x14ac:dyDescent="0.3">
      <c r="H40" s="84"/>
    </row>
    <row r="41" spans="8:8" x14ac:dyDescent="0.3">
      <c r="H41" s="84"/>
    </row>
    <row r="42" spans="8:8" x14ac:dyDescent="0.3">
      <c r="H42" s="84"/>
    </row>
    <row r="43" spans="8:8" x14ac:dyDescent="0.3">
      <c r="H43" s="84"/>
    </row>
    <row r="44" spans="8:8" x14ac:dyDescent="0.3">
      <c r="H44" s="84"/>
    </row>
    <row r="45" spans="8:8" x14ac:dyDescent="0.3">
      <c r="H45" s="84"/>
    </row>
    <row r="46" spans="8:8" x14ac:dyDescent="0.3">
      <c r="H46" s="84"/>
    </row>
    <row r="47" spans="8:8" x14ac:dyDescent="0.3">
      <c r="H47" s="84"/>
    </row>
    <row r="48" spans="8:8" x14ac:dyDescent="0.3">
      <c r="H48" s="84"/>
    </row>
    <row r="49" spans="8:8" x14ac:dyDescent="0.3">
      <c r="H49" s="84"/>
    </row>
    <row r="50" spans="8:8" x14ac:dyDescent="0.3">
      <c r="H50" s="84"/>
    </row>
    <row r="51" spans="8:8" x14ac:dyDescent="0.3">
      <c r="H51" s="84"/>
    </row>
    <row r="52" spans="8:8" x14ac:dyDescent="0.3">
      <c r="H52" s="84"/>
    </row>
    <row r="53" spans="8:8" x14ac:dyDescent="0.3">
      <c r="H53" s="84"/>
    </row>
    <row r="54" spans="8:8" x14ac:dyDescent="0.3">
      <c r="H54" s="84"/>
    </row>
    <row r="55" spans="8:8" x14ac:dyDescent="0.3">
      <c r="H55" s="84"/>
    </row>
    <row r="56" spans="8:8" x14ac:dyDescent="0.3">
      <c r="H56" s="84"/>
    </row>
    <row r="57" spans="8:8" x14ac:dyDescent="0.3">
      <c r="H57" s="84"/>
    </row>
    <row r="58" spans="8:8" x14ac:dyDescent="0.3">
      <c r="H58" s="84"/>
    </row>
    <row r="59" spans="8:8" x14ac:dyDescent="0.3">
      <c r="H59" s="84"/>
    </row>
    <row r="60" spans="8:8" x14ac:dyDescent="0.3">
      <c r="H60" s="84"/>
    </row>
    <row r="61" spans="8:8" x14ac:dyDescent="0.3">
      <c r="H61" s="84"/>
    </row>
    <row r="62" spans="8:8" x14ac:dyDescent="0.3">
      <c r="H62" s="84"/>
    </row>
    <row r="63" spans="8:8" x14ac:dyDescent="0.3">
      <c r="H63" s="84"/>
    </row>
    <row r="64" spans="8:8" x14ac:dyDescent="0.3">
      <c r="H64" s="84"/>
    </row>
    <row r="65" spans="8:8" x14ac:dyDescent="0.3">
      <c r="H65" s="84"/>
    </row>
    <row r="66" spans="8:8" x14ac:dyDescent="0.3">
      <c r="H66" s="84"/>
    </row>
    <row r="67" spans="8:8" x14ac:dyDescent="0.3">
      <c r="H67" s="84"/>
    </row>
    <row r="68" spans="8:8" x14ac:dyDescent="0.3">
      <c r="H68" s="84"/>
    </row>
    <row r="69" spans="8:8" x14ac:dyDescent="0.3">
      <c r="H69" s="84"/>
    </row>
    <row r="70" spans="8:8" x14ac:dyDescent="0.3">
      <c r="H70" s="84"/>
    </row>
    <row r="71" spans="8:8" x14ac:dyDescent="0.3">
      <c r="H71" s="84"/>
    </row>
    <row r="72" spans="8:8" x14ac:dyDescent="0.3">
      <c r="H72" s="84"/>
    </row>
    <row r="73" spans="8:8" x14ac:dyDescent="0.3">
      <c r="H73" s="84"/>
    </row>
    <row r="74" spans="8:8" x14ac:dyDescent="0.3">
      <c r="H74" s="84"/>
    </row>
    <row r="75" spans="8:8" x14ac:dyDescent="0.3">
      <c r="H75" s="84"/>
    </row>
    <row r="76" spans="8:8" x14ac:dyDescent="0.3">
      <c r="H76" s="84"/>
    </row>
    <row r="77" spans="8:8" x14ac:dyDescent="0.3">
      <c r="H77" s="84"/>
    </row>
    <row r="78" spans="8:8" x14ac:dyDescent="0.3">
      <c r="H78" s="84"/>
    </row>
    <row r="79" spans="8:8" x14ac:dyDescent="0.3">
      <c r="H79" s="84"/>
    </row>
    <row r="80" spans="8:8" x14ac:dyDescent="0.3">
      <c r="H80" s="84"/>
    </row>
    <row r="81" spans="8:8" x14ac:dyDescent="0.3">
      <c r="H81" s="84"/>
    </row>
    <row r="82" spans="8:8" x14ac:dyDescent="0.3">
      <c r="H82" s="84"/>
    </row>
    <row r="83" spans="8:8" x14ac:dyDescent="0.3">
      <c r="H83" s="84"/>
    </row>
    <row r="84" spans="8:8" x14ac:dyDescent="0.3">
      <c r="H84" s="84"/>
    </row>
    <row r="85" spans="8:8" x14ac:dyDescent="0.3">
      <c r="H85" s="84"/>
    </row>
    <row r="86" spans="8:8" x14ac:dyDescent="0.3">
      <c r="H86" s="84"/>
    </row>
    <row r="87" spans="8:8" x14ac:dyDescent="0.3">
      <c r="H87" s="84"/>
    </row>
    <row r="88" spans="8:8" x14ac:dyDescent="0.3">
      <c r="H88" s="84"/>
    </row>
    <row r="89" spans="8:8" x14ac:dyDescent="0.3">
      <c r="H89" s="84"/>
    </row>
    <row r="90" spans="8:8" x14ac:dyDescent="0.3">
      <c r="H90" s="84"/>
    </row>
    <row r="91" spans="8:8" x14ac:dyDescent="0.3">
      <c r="H91" s="84"/>
    </row>
    <row r="92" spans="8:8" x14ac:dyDescent="0.3">
      <c r="H92" s="84"/>
    </row>
    <row r="93" spans="8:8" x14ac:dyDescent="0.3">
      <c r="H93" s="84"/>
    </row>
    <row r="94" spans="8:8" x14ac:dyDescent="0.3">
      <c r="H94" s="84"/>
    </row>
    <row r="95" spans="8:8" x14ac:dyDescent="0.3">
      <c r="H95" s="84"/>
    </row>
    <row r="96" spans="8:8" x14ac:dyDescent="0.3">
      <c r="H96" s="84"/>
    </row>
    <row r="97" spans="8:8" x14ac:dyDescent="0.3">
      <c r="H97" s="84"/>
    </row>
    <row r="98" spans="8:8" x14ac:dyDescent="0.3">
      <c r="H98" s="84"/>
    </row>
    <row r="99" spans="8:8" x14ac:dyDescent="0.3">
      <c r="H99" s="84"/>
    </row>
    <row r="100" spans="8:8" x14ac:dyDescent="0.3">
      <c r="H100" s="84"/>
    </row>
    <row r="101" spans="8:8" x14ac:dyDescent="0.3">
      <c r="H101" s="84"/>
    </row>
    <row r="102" spans="8:8" x14ac:dyDescent="0.3">
      <c r="H102" s="84"/>
    </row>
    <row r="103" spans="8:8" x14ac:dyDescent="0.3">
      <c r="H103" s="84"/>
    </row>
    <row r="104" spans="8:8" x14ac:dyDescent="0.3">
      <c r="H104" s="84"/>
    </row>
    <row r="105" spans="8:8" x14ac:dyDescent="0.3">
      <c r="H105" s="84"/>
    </row>
    <row r="106" spans="8:8" x14ac:dyDescent="0.3">
      <c r="H106" s="84"/>
    </row>
    <row r="107" spans="8:8" x14ac:dyDescent="0.3">
      <c r="H107" s="84"/>
    </row>
    <row r="108" spans="8:8" x14ac:dyDescent="0.3">
      <c r="H108" s="84"/>
    </row>
    <row r="109" spans="8:8" x14ac:dyDescent="0.3">
      <c r="H109" s="84"/>
    </row>
    <row r="110" spans="8:8" x14ac:dyDescent="0.3">
      <c r="H110" s="84"/>
    </row>
    <row r="111" spans="8:8" x14ac:dyDescent="0.3">
      <c r="H111" s="84"/>
    </row>
    <row r="112" spans="8:8" x14ac:dyDescent="0.3">
      <c r="H112" s="84"/>
    </row>
    <row r="113" spans="8:8" x14ac:dyDescent="0.3">
      <c r="H113" s="84"/>
    </row>
    <row r="114" spans="8:8" x14ac:dyDescent="0.3">
      <c r="H114" s="84"/>
    </row>
    <row r="115" spans="8:8" x14ac:dyDescent="0.3">
      <c r="H115" s="84"/>
    </row>
    <row r="116" spans="8:8" x14ac:dyDescent="0.3">
      <c r="H116" s="84"/>
    </row>
    <row r="117" spans="8:8" x14ac:dyDescent="0.3">
      <c r="H117" s="84"/>
    </row>
    <row r="118" spans="8:8" x14ac:dyDescent="0.3">
      <c r="H118" s="84"/>
    </row>
    <row r="119" spans="8:8" x14ac:dyDescent="0.3">
      <c r="H119" s="84"/>
    </row>
    <row r="120" spans="8:8" x14ac:dyDescent="0.3">
      <c r="H120" s="84"/>
    </row>
    <row r="121" spans="8:8" x14ac:dyDescent="0.3">
      <c r="H121" s="84"/>
    </row>
    <row r="122" spans="8:8" x14ac:dyDescent="0.3">
      <c r="H122" s="84"/>
    </row>
    <row r="123" spans="8:8" x14ac:dyDescent="0.3">
      <c r="H123" s="84"/>
    </row>
    <row r="124" spans="8:8" x14ac:dyDescent="0.3">
      <c r="H124" s="84"/>
    </row>
    <row r="125" spans="8:8" x14ac:dyDescent="0.3">
      <c r="H125" s="84"/>
    </row>
    <row r="126" spans="8:8" x14ac:dyDescent="0.3">
      <c r="H126" s="84"/>
    </row>
    <row r="127" spans="8:8" x14ac:dyDescent="0.3">
      <c r="H127" s="84"/>
    </row>
    <row r="128" spans="8:8" x14ac:dyDescent="0.3">
      <c r="H128" s="84"/>
    </row>
    <row r="129" spans="8:8" x14ac:dyDescent="0.3">
      <c r="H129" s="84"/>
    </row>
    <row r="130" spans="8:8" x14ac:dyDescent="0.3">
      <c r="H130" s="84"/>
    </row>
    <row r="131" spans="8:8" x14ac:dyDescent="0.3">
      <c r="H131" s="84"/>
    </row>
    <row r="132" spans="8:8" x14ac:dyDescent="0.3">
      <c r="H132" s="84"/>
    </row>
    <row r="133" spans="8:8" x14ac:dyDescent="0.3">
      <c r="H133" s="84"/>
    </row>
    <row r="134" spans="8:8" x14ac:dyDescent="0.3">
      <c r="H134" s="84"/>
    </row>
    <row r="135" spans="8:8" x14ac:dyDescent="0.3">
      <c r="H135" s="84"/>
    </row>
    <row r="136" spans="8:8" x14ac:dyDescent="0.3">
      <c r="H136" s="84"/>
    </row>
    <row r="137" spans="8:8" x14ac:dyDescent="0.3">
      <c r="H137" s="84"/>
    </row>
    <row r="138" spans="8:8" x14ac:dyDescent="0.3">
      <c r="H138" s="84"/>
    </row>
    <row r="139" spans="8:8" x14ac:dyDescent="0.3">
      <c r="H139" s="84"/>
    </row>
    <row r="140" spans="8:8" x14ac:dyDescent="0.3">
      <c r="H140" s="84"/>
    </row>
    <row r="141" spans="8:8" x14ac:dyDescent="0.3">
      <c r="H141" s="84"/>
    </row>
    <row r="142" spans="8:8" x14ac:dyDescent="0.3">
      <c r="H142" s="84"/>
    </row>
    <row r="143" spans="8:8" x14ac:dyDescent="0.3">
      <c r="H143" s="84"/>
    </row>
    <row r="144" spans="8:8" x14ac:dyDescent="0.3">
      <c r="H144" s="84"/>
    </row>
    <row r="145" spans="8:8" x14ac:dyDescent="0.3">
      <c r="H145" s="84"/>
    </row>
    <row r="146" spans="8:8" x14ac:dyDescent="0.3">
      <c r="H146" s="84"/>
    </row>
    <row r="147" spans="8:8" x14ac:dyDescent="0.3">
      <c r="H147" s="84"/>
    </row>
    <row r="148" spans="8:8" x14ac:dyDescent="0.3">
      <c r="H148" s="84"/>
    </row>
    <row r="149" spans="8:8" x14ac:dyDescent="0.3">
      <c r="H149" s="84"/>
    </row>
    <row r="150" spans="8:8" x14ac:dyDescent="0.3">
      <c r="H150" s="84"/>
    </row>
    <row r="151" spans="8:8" x14ac:dyDescent="0.3">
      <c r="H151" s="84"/>
    </row>
    <row r="152" spans="8:8" x14ac:dyDescent="0.3">
      <c r="H152" s="84"/>
    </row>
    <row r="153" spans="8:8" x14ac:dyDescent="0.3">
      <c r="H153" s="84"/>
    </row>
    <row r="154" spans="8:8" x14ac:dyDescent="0.3">
      <c r="H154" s="84"/>
    </row>
    <row r="155" spans="8:8" x14ac:dyDescent="0.3">
      <c r="H155" s="84"/>
    </row>
    <row r="156" spans="8:8" x14ac:dyDescent="0.3">
      <c r="H156" s="84"/>
    </row>
    <row r="157" spans="8:8" x14ac:dyDescent="0.3">
      <c r="H157" s="84"/>
    </row>
    <row r="158" spans="8:8" x14ac:dyDescent="0.3">
      <c r="H158" s="84"/>
    </row>
    <row r="159" spans="8:8" x14ac:dyDescent="0.3">
      <c r="H159" s="84"/>
    </row>
    <row r="160" spans="8:8" x14ac:dyDescent="0.3">
      <c r="H160" s="84"/>
    </row>
    <row r="161" spans="8:8" x14ac:dyDescent="0.3">
      <c r="H161" s="84"/>
    </row>
    <row r="162" spans="8:8" x14ac:dyDescent="0.3">
      <c r="H162" s="84"/>
    </row>
    <row r="163" spans="8:8" x14ac:dyDescent="0.3">
      <c r="H163" s="84"/>
    </row>
    <row r="164" spans="8:8" x14ac:dyDescent="0.3">
      <c r="H164" s="84"/>
    </row>
    <row r="165" spans="8:8" x14ac:dyDescent="0.3">
      <c r="H165" s="84"/>
    </row>
    <row r="166" spans="8:8" x14ac:dyDescent="0.3">
      <c r="H166" s="84"/>
    </row>
    <row r="167" spans="8:8" x14ac:dyDescent="0.3">
      <c r="H167" s="84"/>
    </row>
    <row r="168" spans="8:8" x14ac:dyDescent="0.3">
      <c r="H168" s="84"/>
    </row>
    <row r="169" spans="8:8" x14ac:dyDescent="0.3">
      <c r="H169" s="84"/>
    </row>
    <row r="170" spans="8:8" x14ac:dyDescent="0.3">
      <c r="H170" s="84"/>
    </row>
    <row r="171" spans="8:8" x14ac:dyDescent="0.3">
      <c r="H171" s="84"/>
    </row>
    <row r="172" spans="8:8" x14ac:dyDescent="0.3">
      <c r="H172" s="84"/>
    </row>
    <row r="173" spans="8:8" x14ac:dyDescent="0.3">
      <c r="H173" s="84"/>
    </row>
    <row r="174" spans="8:8" x14ac:dyDescent="0.3">
      <c r="H174" s="84"/>
    </row>
    <row r="175" spans="8:8" x14ac:dyDescent="0.3">
      <c r="H175" s="84"/>
    </row>
    <row r="176" spans="8:8" x14ac:dyDescent="0.3">
      <c r="H176" s="84"/>
    </row>
    <row r="177" spans="8:8" x14ac:dyDescent="0.3">
      <c r="H177" s="84"/>
    </row>
    <row r="178" spans="8:8" x14ac:dyDescent="0.3">
      <c r="H178" s="84"/>
    </row>
    <row r="179" spans="8:8" x14ac:dyDescent="0.3">
      <c r="H179" s="84"/>
    </row>
    <row r="180" spans="8:8" x14ac:dyDescent="0.3">
      <c r="H180" s="84"/>
    </row>
    <row r="181" spans="8:8" x14ac:dyDescent="0.3">
      <c r="H181" s="84"/>
    </row>
    <row r="182" spans="8:8" x14ac:dyDescent="0.3">
      <c r="H182" s="84"/>
    </row>
    <row r="183" spans="8:8" x14ac:dyDescent="0.3">
      <c r="H183" s="84"/>
    </row>
    <row r="184" spans="8:8" x14ac:dyDescent="0.3">
      <c r="H184" s="84"/>
    </row>
    <row r="185" spans="8:8" x14ac:dyDescent="0.3">
      <c r="H185" s="84"/>
    </row>
    <row r="186" spans="8:8" x14ac:dyDescent="0.3">
      <c r="H186" s="84"/>
    </row>
    <row r="187" spans="8:8" x14ac:dyDescent="0.3">
      <c r="H187" s="84"/>
    </row>
    <row r="188" spans="8:8" x14ac:dyDescent="0.3">
      <c r="H188" s="84"/>
    </row>
    <row r="189" spans="8:8" x14ac:dyDescent="0.3">
      <c r="H189" s="84"/>
    </row>
    <row r="190" spans="8:8" x14ac:dyDescent="0.3">
      <c r="H190" s="84"/>
    </row>
    <row r="191" spans="8:8" x14ac:dyDescent="0.3">
      <c r="H191" s="84"/>
    </row>
    <row r="192" spans="8:8" x14ac:dyDescent="0.3">
      <c r="H192" s="84"/>
    </row>
    <row r="193" spans="8:8" x14ac:dyDescent="0.3">
      <c r="H193" s="84"/>
    </row>
    <row r="194" spans="8:8" x14ac:dyDescent="0.3">
      <c r="H194" s="84"/>
    </row>
    <row r="195" spans="8:8" x14ac:dyDescent="0.3">
      <c r="H195" s="84"/>
    </row>
    <row r="196" spans="8:8" x14ac:dyDescent="0.3">
      <c r="H196" s="84"/>
    </row>
    <row r="197" spans="8:8" x14ac:dyDescent="0.3">
      <c r="H197" s="84"/>
    </row>
    <row r="198" spans="8:8" x14ac:dyDescent="0.3">
      <c r="H198" s="84"/>
    </row>
    <row r="199" spans="8:8" x14ac:dyDescent="0.3">
      <c r="H199" s="84"/>
    </row>
    <row r="200" spans="8:8" x14ac:dyDescent="0.3">
      <c r="H200" s="84"/>
    </row>
    <row r="201" spans="8:8" x14ac:dyDescent="0.3">
      <c r="H201" s="84"/>
    </row>
    <row r="202" spans="8:8" x14ac:dyDescent="0.3">
      <c r="H202" s="84"/>
    </row>
    <row r="203" spans="8:8" x14ac:dyDescent="0.3">
      <c r="H203" s="84"/>
    </row>
    <row r="204" spans="8:8" x14ac:dyDescent="0.3">
      <c r="H204" s="84"/>
    </row>
    <row r="205" spans="8:8" x14ac:dyDescent="0.3">
      <c r="H205" s="84"/>
    </row>
    <row r="206" spans="8:8" x14ac:dyDescent="0.3">
      <c r="H206" s="84"/>
    </row>
    <row r="207" spans="8:8" x14ac:dyDescent="0.3">
      <c r="H207" s="84"/>
    </row>
    <row r="208" spans="8:8" x14ac:dyDescent="0.3">
      <c r="H208" s="84"/>
    </row>
    <row r="209" spans="8:8" x14ac:dyDescent="0.3">
      <c r="H209" s="84"/>
    </row>
    <row r="210" spans="8:8" x14ac:dyDescent="0.3">
      <c r="H210" s="84"/>
    </row>
    <row r="211" spans="8:8" x14ac:dyDescent="0.3">
      <c r="H211" s="84"/>
    </row>
    <row r="212" spans="8:8" x14ac:dyDescent="0.3">
      <c r="H212" s="84"/>
    </row>
    <row r="213" spans="8:8" x14ac:dyDescent="0.3">
      <c r="H213" s="84"/>
    </row>
    <row r="214" spans="8:8" x14ac:dyDescent="0.3">
      <c r="H214" s="84"/>
    </row>
    <row r="215" spans="8:8" x14ac:dyDescent="0.3">
      <c r="H215" s="84"/>
    </row>
    <row r="216" spans="8:8" x14ac:dyDescent="0.3">
      <c r="H216" s="84"/>
    </row>
    <row r="217" spans="8:8" x14ac:dyDescent="0.3">
      <c r="H217" s="84"/>
    </row>
    <row r="218" spans="8:8" x14ac:dyDescent="0.3">
      <c r="H218" s="84"/>
    </row>
  </sheetData>
  <phoneticPr fontId="8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01273-7D59-4F2A-83F6-84C5DD233EBD}">
  <sheetPr>
    <tabColor rgb="FFFFFF00"/>
  </sheetPr>
  <dimension ref="B1:W232"/>
  <sheetViews>
    <sheetView showGridLines="0" zoomScale="130" zoomScaleNormal="130" workbookViewId="0">
      <selection activeCell="U123" sqref="R123:U123"/>
    </sheetView>
  </sheetViews>
  <sheetFormatPr defaultRowHeight="15.7" x14ac:dyDescent="0.3"/>
  <cols>
    <col min="1" max="1" width="2.625" customWidth="1"/>
    <col min="2" max="2" width="6.25" customWidth="1"/>
    <col min="3" max="3" width="14.625" customWidth="1"/>
    <col min="4" max="4" width="6.5" customWidth="1"/>
    <col min="5" max="5" width="9" customWidth="1"/>
    <col min="6" max="8" width="6.125" customWidth="1"/>
    <col min="9" max="10" width="6.5" customWidth="1"/>
    <col min="11" max="11" width="8.375" customWidth="1"/>
    <col min="12" max="12" width="2.625" customWidth="1"/>
    <col min="13" max="14" width="10.875" customWidth="1"/>
    <col min="15" max="15" width="2.625" customWidth="1"/>
    <col min="16" max="16" width="9" customWidth="1"/>
    <col min="18" max="18" width="15.875" customWidth="1"/>
    <col min="21" max="21" width="15.875" customWidth="1"/>
    <col min="22" max="22" width="2.625" customWidth="1"/>
    <col min="23" max="23" width="15.625" bestFit="1" customWidth="1"/>
  </cols>
  <sheetData>
    <row r="1" spans="2:23" ht="16.399999999999999" thickBot="1" x14ac:dyDescent="0.35"/>
    <row r="2" spans="2:23" ht="15.7" customHeight="1" thickBot="1" x14ac:dyDescent="0.35">
      <c r="B2" s="77" t="s">
        <v>31</v>
      </c>
      <c r="C2" s="93" t="s">
        <v>5</v>
      </c>
      <c r="D2" s="78" t="s">
        <v>32</v>
      </c>
      <c r="E2" s="79" t="s">
        <v>29</v>
      </c>
      <c r="F2" s="80" t="s">
        <v>4</v>
      </c>
      <c r="G2" s="80" t="s">
        <v>2</v>
      </c>
      <c r="H2" s="80" t="s">
        <v>10</v>
      </c>
      <c r="I2" s="81" t="s">
        <v>22</v>
      </c>
      <c r="J2" s="80" t="s">
        <v>24</v>
      </c>
      <c r="K2" s="78" t="s">
        <v>26</v>
      </c>
      <c r="M2" s="45" t="s">
        <v>42</v>
      </c>
      <c r="N2" s="43" t="s">
        <v>45</v>
      </c>
      <c r="W2" t="s">
        <v>91</v>
      </c>
    </row>
    <row r="3" spans="2:23" ht="27.1" customHeight="1" thickBot="1" x14ac:dyDescent="0.35">
      <c r="B3" s="63">
        <v>1</v>
      </c>
      <c r="C3" s="98" t="str" cm="1">
        <f t="array" ref="C3:K10">_xlfn._xlws.SORT(_xlfn._xlws.SORT(_xlfn._xlws.SORT(_xlfn._xlws.SORT((_xlfn._xlws.FILTER(표2부리그[],표2부리그[경기]&gt;(-1),)),9,-1),7,-1),8,1),2,-1)</f>
        <v>스페인</v>
      </c>
      <c r="D3" s="60">
        <v>34</v>
      </c>
      <c r="E3" s="42">
        <v>14</v>
      </c>
      <c r="F3" s="40">
        <v>11</v>
      </c>
      <c r="G3" s="40">
        <v>1</v>
      </c>
      <c r="H3" s="40">
        <v>2</v>
      </c>
      <c r="I3" s="41">
        <v>39</v>
      </c>
      <c r="J3" s="40">
        <v>19</v>
      </c>
      <c r="K3" s="64">
        <v>20</v>
      </c>
      <c r="M3" s="69">
        <f>IFERROR(D3/E3,0)</f>
        <v>2.4285714285714284</v>
      </c>
      <c r="N3" s="83">
        <f>(14-E3)*3+D3</f>
        <v>34</v>
      </c>
      <c r="W3" t="s">
        <v>71</v>
      </c>
    </row>
    <row r="4" spans="2:23" ht="27.1" customHeight="1" thickBot="1" x14ac:dyDescent="0.35">
      <c r="B4" s="65">
        <v>2</v>
      </c>
      <c r="C4" s="94" t="str">
        <v>프랑스</v>
      </c>
      <c r="D4" s="61">
        <v>28</v>
      </c>
      <c r="E4" s="35">
        <v>12</v>
      </c>
      <c r="F4" s="33">
        <v>9</v>
      </c>
      <c r="G4" s="33">
        <v>1</v>
      </c>
      <c r="H4" s="33">
        <v>2</v>
      </c>
      <c r="I4" s="34">
        <v>47</v>
      </c>
      <c r="J4" s="33">
        <v>20</v>
      </c>
      <c r="K4" s="66">
        <v>27</v>
      </c>
      <c r="M4" s="70">
        <f t="shared" ref="M4:M10" si="0">IFERROR(D4/E4,0)</f>
        <v>2.3333333333333335</v>
      </c>
      <c r="N4" s="96">
        <f t="shared" ref="N4:N10" si="1">(14-E4)*3+D4</f>
        <v>34</v>
      </c>
      <c r="W4" t="s">
        <v>89</v>
      </c>
    </row>
    <row r="5" spans="2:23" ht="27.1" customHeight="1" thickBot="1" x14ac:dyDescent="0.35">
      <c r="B5" s="67">
        <v>3</v>
      </c>
      <c r="C5" s="95" t="str">
        <v>브라질</v>
      </c>
      <c r="D5" s="62">
        <v>14</v>
      </c>
      <c r="E5" s="31">
        <v>10</v>
      </c>
      <c r="F5" s="29">
        <v>4</v>
      </c>
      <c r="G5" s="29">
        <v>2</v>
      </c>
      <c r="H5" s="29">
        <v>4</v>
      </c>
      <c r="I5" s="30">
        <v>24</v>
      </c>
      <c r="J5" s="29">
        <v>28</v>
      </c>
      <c r="K5" s="68">
        <v>-4</v>
      </c>
      <c r="M5" s="71">
        <f t="shared" si="0"/>
        <v>1.4</v>
      </c>
      <c r="N5" s="97">
        <f t="shared" si="1"/>
        <v>26</v>
      </c>
      <c r="W5" t="s">
        <v>83</v>
      </c>
    </row>
    <row r="6" spans="2:23" ht="27.1" customHeight="1" thickBot="1" x14ac:dyDescent="0.35">
      <c r="B6" s="65">
        <v>4</v>
      </c>
      <c r="C6" s="94" t="str">
        <v>이탈리아</v>
      </c>
      <c r="D6" s="61">
        <v>9</v>
      </c>
      <c r="E6" s="35">
        <v>8</v>
      </c>
      <c r="F6" s="33">
        <v>2</v>
      </c>
      <c r="G6" s="33">
        <v>3</v>
      </c>
      <c r="H6" s="33">
        <v>3</v>
      </c>
      <c r="I6" s="34">
        <v>16</v>
      </c>
      <c r="J6" s="33">
        <v>19</v>
      </c>
      <c r="K6" s="66">
        <v>-3</v>
      </c>
      <c r="M6" s="70">
        <f t="shared" si="0"/>
        <v>1.125</v>
      </c>
      <c r="N6" s="96">
        <f t="shared" si="1"/>
        <v>27</v>
      </c>
      <c r="W6" t="s">
        <v>73</v>
      </c>
    </row>
    <row r="7" spans="2:23" ht="27.1" customHeight="1" thickBot="1" x14ac:dyDescent="0.35">
      <c r="B7" s="67">
        <v>5</v>
      </c>
      <c r="C7" s="95" t="str">
        <v>대한민국</v>
      </c>
      <c r="D7" s="62">
        <v>6</v>
      </c>
      <c r="E7" s="31">
        <v>10</v>
      </c>
      <c r="F7" s="29">
        <v>1</v>
      </c>
      <c r="G7" s="29">
        <v>3</v>
      </c>
      <c r="H7" s="29">
        <v>6</v>
      </c>
      <c r="I7" s="30">
        <v>13</v>
      </c>
      <c r="J7" s="29">
        <v>25</v>
      </c>
      <c r="K7" s="68">
        <v>-12</v>
      </c>
      <c r="M7" s="71">
        <f t="shared" si="0"/>
        <v>0.6</v>
      </c>
      <c r="N7" s="97">
        <f t="shared" si="1"/>
        <v>18</v>
      </c>
      <c r="W7" t="s">
        <v>87</v>
      </c>
    </row>
    <row r="8" spans="2:23" ht="27.1" customHeight="1" thickBot="1" x14ac:dyDescent="0.35">
      <c r="B8" s="65">
        <v>6</v>
      </c>
      <c r="C8" s="94" t="str">
        <v>루마니아</v>
      </c>
      <c r="D8" s="61">
        <v>5</v>
      </c>
      <c r="E8" s="35">
        <v>8</v>
      </c>
      <c r="F8" s="33">
        <v>1</v>
      </c>
      <c r="G8" s="33">
        <v>2</v>
      </c>
      <c r="H8" s="33">
        <v>5</v>
      </c>
      <c r="I8" s="34">
        <v>8</v>
      </c>
      <c r="J8" s="33">
        <v>20</v>
      </c>
      <c r="K8" s="66">
        <v>-12</v>
      </c>
      <c r="M8" s="70">
        <f t="shared" si="0"/>
        <v>0.625</v>
      </c>
      <c r="N8" s="96">
        <f t="shared" si="1"/>
        <v>23</v>
      </c>
      <c r="W8" t="s">
        <v>75</v>
      </c>
    </row>
    <row r="9" spans="2:23" ht="27.1" customHeight="1" thickBot="1" x14ac:dyDescent="0.35">
      <c r="B9" s="67">
        <v>7</v>
      </c>
      <c r="C9" s="95" t="str">
        <v>포르투갈</v>
      </c>
      <c r="D9" s="62">
        <v>3</v>
      </c>
      <c r="E9" s="31">
        <v>2</v>
      </c>
      <c r="F9" s="29">
        <v>1</v>
      </c>
      <c r="G9" s="29">
        <v>0</v>
      </c>
      <c r="H9" s="29">
        <v>1</v>
      </c>
      <c r="I9" s="30">
        <v>2</v>
      </c>
      <c r="J9" s="29">
        <v>2</v>
      </c>
      <c r="K9" s="68">
        <v>0</v>
      </c>
      <c r="M9" s="71">
        <f t="shared" si="0"/>
        <v>1.5</v>
      </c>
      <c r="N9" s="97">
        <f t="shared" si="1"/>
        <v>39</v>
      </c>
      <c r="W9" t="s">
        <v>81</v>
      </c>
    </row>
    <row r="10" spans="2:23" ht="27.1" customHeight="1" thickBot="1" x14ac:dyDescent="0.35">
      <c r="B10" s="74">
        <v>8</v>
      </c>
      <c r="C10" s="99" t="str">
        <v>크로아티아</v>
      </c>
      <c r="D10" s="75">
        <v>3</v>
      </c>
      <c r="E10" s="58">
        <v>8</v>
      </c>
      <c r="F10" s="56">
        <v>1</v>
      </c>
      <c r="G10" s="56">
        <v>0</v>
      </c>
      <c r="H10" s="56">
        <v>7</v>
      </c>
      <c r="I10" s="57">
        <v>7</v>
      </c>
      <c r="J10" s="56">
        <v>23</v>
      </c>
      <c r="K10" s="76">
        <v>-16</v>
      </c>
      <c r="M10" s="70">
        <f t="shared" si="0"/>
        <v>0.375</v>
      </c>
      <c r="N10" s="96">
        <f t="shared" si="1"/>
        <v>21</v>
      </c>
    </row>
    <row r="11" spans="2:23" ht="10" customHeight="1" x14ac:dyDescent="0.3"/>
    <row r="12" spans="2:23" ht="21.6" customHeight="1" thickBot="1" x14ac:dyDescent="0.35">
      <c r="P12" s="9" t="s">
        <v>47</v>
      </c>
      <c r="Q12" s="10" t="s">
        <v>46</v>
      </c>
      <c r="R12" s="10" t="s">
        <v>48</v>
      </c>
      <c r="S12" s="10" t="s">
        <v>22</v>
      </c>
      <c r="T12" s="10" t="s">
        <v>24</v>
      </c>
      <c r="U12" s="11" t="s">
        <v>49</v>
      </c>
    </row>
    <row r="13" spans="2:23" ht="27.1" hidden="1" customHeight="1" x14ac:dyDescent="0.35">
      <c r="P13" s="181">
        <v>1</v>
      </c>
      <c r="Q13" s="91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무</v>
      </c>
      <c r="R13" s="91" t="s">
        <v>91</v>
      </c>
      <c r="S13" s="91">
        <v>2</v>
      </c>
      <c r="T13" s="91">
        <v>2</v>
      </c>
      <c r="U13" s="182" t="s">
        <v>71</v>
      </c>
    </row>
    <row r="14" spans="2:23" ht="27.1" hidden="1" customHeight="1" x14ac:dyDescent="0.35">
      <c r="P14" s="14">
        <v>2</v>
      </c>
      <c r="Q14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14" s="87" t="s">
        <v>91</v>
      </c>
      <c r="S14" s="87">
        <v>2</v>
      </c>
      <c r="T14" s="87">
        <v>0</v>
      </c>
      <c r="U14" s="88" t="s">
        <v>71</v>
      </c>
    </row>
    <row r="15" spans="2:23" ht="27.1" hidden="1" customHeight="1" x14ac:dyDescent="0.35">
      <c r="P15" s="14">
        <v>3</v>
      </c>
      <c r="Q15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15" s="87" t="s">
        <v>91</v>
      </c>
      <c r="S15" s="87">
        <v>2</v>
      </c>
      <c r="T15" s="87">
        <v>4</v>
      </c>
      <c r="U15" s="88" t="s">
        <v>89</v>
      </c>
    </row>
    <row r="16" spans="2:23" ht="27.1" hidden="1" customHeight="1" x14ac:dyDescent="0.35">
      <c r="P16" s="14">
        <v>4</v>
      </c>
      <c r="Q16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16" s="87" t="s">
        <v>91</v>
      </c>
      <c r="S16" s="87">
        <v>1</v>
      </c>
      <c r="T16" s="87">
        <v>4</v>
      </c>
      <c r="U16" s="88" t="s">
        <v>89</v>
      </c>
    </row>
    <row r="17" spans="16:21" ht="27.1" hidden="1" customHeight="1" x14ac:dyDescent="0.35">
      <c r="P17" s="14">
        <v>5</v>
      </c>
      <c r="Q17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17" s="87" t="s">
        <v>91</v>
      </c>
      <c r="S17" s="87">
        <v>2</v>
      </c>
      <c r="T17" s="87">
        <v>3</v>
      </c>
      <c r="U17" s="88" t="s">
        <v>83</v>
      </c>
    </row>
    <row r="18" spans="16:21" ht="27.1" hidden="1" customHeight="1" x14ac:dyDescent="0.35">
      <c r="P18" s="14">
        <v>6</v>
      </c>
      <c r="Q18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18" s="87" t="s">
        <v>91</v>
      </c>
      <c r="S18" s="87">
        <v>0</v>
      </c>
      <c r="T18" s="87">
        <v>1</v>
      </c>
      <c r="U18" s="88" t="s">
        <v>83</v>
      </c>
    </row>
    <row r="19" spans="16:21" ht="27.1" hidden="1" customHeight="1" x14ac:dyDescent="0.35">
      <c r="P19" s="14">
        <v>7</v>
      </c>
      <c r="Q19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19" s="87" t="s">
        <v>91</v>
      </c>
      <c r="S19" s="87">
        <v>0</v>
      </c>
      <c r="T19" s="87">
        <v>2</v>
      </c>
      <c r="U19" s="88" t="s">
        <v>73</v>
      </c>
    </row>
    <row r="20" spans="16:21" ht="27.1" hidden="1" customHeight="1" x14ac:dyDescent="0.35">
      <c r="P20" s="14">
        <v>8</v>
      </c>
      <c r="Q20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무</v>
      </c>
      <c r="R20" s="87" t="s">
        <v>91</v>
      </c>
      <c r="S20" s="87">
        <v>3</v>
      </c>
      <c r="T20" s="87">
        <v>3</v>
      </c>
      <c r="U20" s="88" t="s">
        <v>73</v>
      </c>
    </row>
    <row r="21" spans="16:21" ht="27.1" hidden="1" customHeight="1" x14ac:dyDescent="0.35">
      <c r="P21" s="14">
        <v>9</v>
      </c>
      <c r="Q21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21" s="87" t="s">
        <v>91</v>
      </c>
      <c r="S21" s="87"/>
      <c r="T21" s="87"/>
      <c r="U21" s="88" t="s">
        <v>87</v>
      </c>
    </row>
    <row r="22" spans="16:21" ht="27.1" hidden="1" customHeight="1" x14ac:dyDescent="0.35">
      <c r="P22" s="14">
        <v>10</v>
      </c>
      <c r="Q22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22" s="87" t="s">
        <v>91</v>
      </c>
      <c r="S22" s="87"/>
      <c r="T22" s="87"/>
      <c r="U22" s="88" t="s">
        <v>87</v>
      </c>
    </row>
    <row r="23" spans="16:21" ht="27.1" hidden="1" customHeight="1" x14ac:dyDescent="0.35">
      <c r="P23" s="14">
        <v>11</v>
      </c>
      <c r="Q23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23" s="87" t="s">
        <v>91</v>
      </c>
      <c r="S23" s="87"/>
      <c r="T23" s="87"/>
      <c r="U23" s="88" t="s">
        <v>75</v>
      </c>
    </row>
    <row r="24" spans="16:21" ht="27.1" hidden="1" customHeight="1" x14ac:dyDescent="0.35">
      <c r="P24" s="14">
        <v>12</v>
      </c>
      <c r="Q24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24" s="87" t="s">
        <v>91</v>
      </c>
      <c r="S24" s="87"/>
      <c r="T24" s="87"/>
      <c r="U24" s="88" t="s">
        <v>75</v>
      </c>
    </row>
    <row r="25" spans="16:21" ht="27.1" hidden="1" customHeight="1" x14ac:dyDescent="0.35">
      <c r="P25" s="14">
        <v>13</v>
      </c>
      <c r="Q25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무</v>
      </c>
      <c r="R25" s="87" t="s">
        <v>91</v>
      </c>
      <c r="S25" s="87">
        <v>1</v>
      </c>
      <c r="T25" s="87">
        <v>1</v>
      </c>
      <c r="U25" s="88" t="s">
        <v>81</v>
      </c>
    </row>
    <row r="26" spans="16:21" ht="27.1" hidden="1" customHeight="1" thickBot="1" x14ac:dyDescent="0.35">
      <c r="P26" s="183">
        <v>14</v>
      </c>
      <c r="Q26" s="92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26" s="92" t="s">
        <v>91</v>
      </c>
      <c r="S26" s="92">
        <v>0</v>
      </c>
      <c r="T26" s="92">
        <v>5</v>
      </c>
      <c r="U26" s="184" t="s">
        <v>81</v>
      </c>
    </row>
    <row r="27" spans="16:21" ht="27.1" hidden="1" customHeight="1" x14ac:dyDescent="0.35">
      <c r="P27" s="181">
        <v>15</v>
      </c>
      <c r="Q27" s="91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무</v>
      </c>
      <c r="R27" s="91" t="s">
        <v>71</v>
      </c>
      <c r="S27" s="91">
        <v>2</v>
      </c>
      <c r="T27" s="91">
        <v>2</v>
      </c>
      <c r="U27" s="182" t="s">
        <v>91</v>
      </c>
    </row>
    <row r="28" spans="16:21" ht="27.1" hidden="1" customHeight="1" x14ac:dyDescent="0.35">
      <c r="P28" s="14">
        <v>16</v>
      </c>
      <c r="Q28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28" s="87" t="s">
        <v>71</v>
      </c>
      <c r="S28" s="87">
        <v>0</v>
      </c>
      <c r="T28" s="87">
        <v>2</v>
      </c>
      <c r="U28" s="88" t="s">
        <v>91</v>
      </c>
    </row>
    <row r="29" spans="16:21" ht="27.1" hidden="1" customHeight="1" x14ac:dyDescent="0.35">
      <c r="P29" s="14">
        <v>17</v>
      </c>
      <c r="Q29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29" s="87" t="s">
        <v>71</v>
      </c>
      <c r="S29" s="87"/>
      <c r="T29" s="87"/>
      <c r="U29" s="88" t="s">
        <v>89</v>
      </c>
    </row>
    <row r="30" spans="16:21" ht="27.1" hidden="1" customHeight="1" x14ac:dyDescent="0.35">
      <c r="P30" s="14">
        <v>18</v>
      </c>
      <c r="Q30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30" s="87" t="s">
        <v>71</v>
      </c>
      <c r="S30" s="87"/>
      <c r="T30" s="87"/>
      <c r="U30" s="88" t="s">
        <v>89</v>
      </c>
    </row>
    <row r="31" spans="16:21" ht="27.1" hidden="1" customHeight="1" x14ac:dyDescent="0.35">
      <c r="P31" s="14">
        <v>19</v>
      </c>
      <c r="Q31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무</v>
      </c>
      <c r="R31" s="87" t="s">
        <v>71</v>
      </c>
      <c r="S31" s="87">
        <v>1</v>
      </c>
      <c r="T31" s="87">
        <v>1</v>
      </c>
      <c r="U31" s="88" t="s">
        <v>83</v>
      </c>
    </row>
    <row r="32" spans="16:21" ht="27.1" hidden="1" customHeight="1" x14ac:dyDescent="0.35">
      <c r="P32" s="14">
        <v>20</v>
      </c>
      <c r="Q32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32" s="87" t="s">
        <v>71</v>
      </c>
      <c r="S32" s="87">
        <v>0</v>
      </c>
      <c r="T32" s="87">
        <v>1</v>
      </c>
      <c r="U32" s="88" t="s">
        <v>83</v>
      </c>
    </row>
    <row r="33" spans="16:21" ht="27.1" hidden="1" customHeight="1" x14ac:dyDescent="0.35">
      <c r="P33" s="14">
        <v>21</v>
      </c>
      <c r="Q33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33" s="87" t="s">
        <v>71</v>
      </c>
      <c r="S33" s="87"/>
      <c r="T33" s="87"/>
      <c r="U33" s="88" t="s">
        <v>73</v>
      </c>
    </row>
    <row r="34" spans="16:21" ht="27.1" hidden="1" customHeight="1" x14ac:dyDescent="0.35">
      <c r="P34" s="14">
        <v>22</v>
      </c>
      <c r="Q34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34" s="87" t="s">
        <v>71</v>
      </c>
      <c r="S34" s="87"/>
      <c r="T34" s="87"/>
      <c r="U34" s="88" t="s">
        <v>73</v>
      </c>
    </row>
    <row r="35" spans="16:21" ht="27.1" hidden="1" customHeight="1" x14ac:dyDescent="0.35">
      <c r="P35" s="14">
        <v>23</v>
      </c>
      <c r="Q35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35" s="87" t="s">
        <v>71</v>
      </c>
      <c r="S35" s="87">
        <v>0</v>
      </c>
      <c r="T35" s="87">
        <v>3</v>
      </c>
      <c r="U35" s="88" t="s">
        <v>87</v>
      </c>
    </row>
    <row r="36" spans="16:21" ht="27.1" hidden="1" customHeight="1" x14ac:dyDescent="0.35">
      <c r="P36" s="14">
        <v>24</v>
      </c>
      <c r="Q36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36" s="87" t="s">
        <v>71</v>
      </c>
      <c r="S36" s="87">
        <v>3</v>
      </c>
      <c r="T36" s="87">
        <v>0</v>
      </c>
      <c r="U36" s="88" t="s">
        <v>87</v>
      </c>
    </row>
    <row r="37" spans="16:21" ht="27.1" hidden="1" customHeight="1" x14ac:dyDescent="0.35">
      <c r="P37" s="14">
        <v>25</v>
      </c>
      <c r="Q37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37" s="87" t="s">
        <v>71</v>
      </c>
      <c r="S37" s="87"/>
      <c r="T37" s="87"/>
      <c r="U37" s="88" t="s">
        <v>75</v>
      </c>
    </row>
    <row r="38" spans="16:21" ht="27.1" hidden="1" customHeight="1" x14ac:dyDescent="0.35">
      <c r="P38" s="14">
        <v>26</v>
      </c>
      <c r="Q38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38" s="87" t="s">
        <v>71</v>
      </c>
      <c r="S38" s="87"/>
      <c r="T38" s="87"/>
      <c r="U38" s="88" t="s">
        <v>75</v>
      </c>
    </row>
    <row r="39" spans="16:21" ht="27.1" hidden="1" customHeight="1" x14ac:dyDescent="0.35">
      <c r="P39" s="14">
        <v>27</v>
      </c>
      <c r="Q39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39" s="87" t="s">
        <v>71</v>
      </c>
      <c r="S39" s="87">
        <v>1</v>
      </c>
      <c r="T39" s="87">
        <v>4</v>
      </c>
      <c r="U39" s="88" t="s">
        <v>81</v>
      </c>
    </row>
    <row r="40" spans="16:21" ht="27.1" hidden="1" customHeight="1" thickBot="1" x14ac:dyDescent="0.35">
      <c r="P40" s="183">
        <v>28</v>
      </c>
      <c r="Q40" s="92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40" s="92" t="s">
        <v>71</v>
      </c>
      <c r="S40" s="92">
        <v>1</v>
      </c>
      <c r="T40" s="92">
        <v>7</v>
      </c>
      <c r="U40" s="184" t="s">
        <v>81</v>
      </c>
    </row>
    <row r="41" spans="16:21" ht="27.1" hidden="1" customHeight="1" x14ac:dyDescent="0.35">
      <c r="P41" s="181">
        <v>29</v>
      </c>
      <c r="Q41" s="91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41" s="91" t="s">
        <v>89</v>
      </c>
      <c r="S41" s="91">
        <v>4</v>
      </c>
      <c r="T41" s="91">
        <v>2</v>
      </c>
      <c r="U41" s="182" t="s">
        <v>91</v>
      </c>
    </row>
    <row r="42" spans="16:21" ht="27.1" hidden="1" customHeight="1" thickBot="1" x14ac:dyDescent="0.35">
      <c r="P42" s="14">
        <v>30</v>
      </c>
      <c r="Q42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42" s="87" t="s">
        <v>89</v>
      </c>
      <c r="S42" s="87">
        <v>4</v>
      </c>
      <c r="T42" s="87">
        <v>1</v>
      </c>
      <c r="U42" s="88" t="s">
        <v>91</v>
      </c>
    </row>
    <row r="43" spans="16:21" ht="27.1" hidden="1" customHeight="1" x14ac:dyDescent="0.35">
      <c r="P43" s="14">
        <v>31</v>
      </c>
      <c r="Q43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43" s="87" t="s">
        <v>89</v>
      </c>
      <c r="S43" s="87"/>
      <c r="T43" s="87"/>
      <c r="U43" s="88" t="s">
        <v>71</v>
      </c>
    </row>
    <row r="44" spans="16:21" ht="27.1" hidden="1" customHeight="1" x14ac:dyDescent="0.35">
      <c r="P44" s="14">
        <v>32</v>
      </c>
      <c r="Q44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44" s="87" t="s">
        <v>89</v>
      </c>
      <c r="S44" s="87"/>
      <c r="T44" s="87"/>
      <c r="U44" s="88" t="s">
        <v>71</v>
      </c>
    </row>
    <row r="45" spans="16:21" ht="27.1" hidden="1" customHeight="1" x14ac:dyDescent="0.35">
      <c r="P45" s="14">
        <v>33</v>
      </c>
      <c r="Q45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45" s="87" t="s">
        <v>89</v>
      </c>
      <c r="S45" s="87">
        <v>2</v>
      </c>
      <c r="T45" s="87">
        <v>6</v>
      </c>
      <c r="U45" s="88" t="s">
        <v>83</v>
      </c>
    </row>
    <row r="46" spans="16:21" ht="27.1" hidden="1" customHeight="1" x14ac:dyDescent="0.35">
      <c r="P46" s="14">
        <v>34</v>
      </c>
      <c r="Q46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46" s="87" t="s">
        <v>89</v>
      </c>
      <c r="S46" s="87">
        <v>0</v>
      </c>
      <c r="T46" s="87">
        <v>4</v>
      </c>
      <c r="U46" s="88" t="s">
        <v>83</v>
      </c>
    </row>
    <row r="47" spans="16:21" ht="27.1" hidden="1" customHeight="1" x14ac:dyDescent="0.35">
      <c r="P47" s="14">
        <v>35</v>
      </c>
      <c r="Q47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무</v>
      </c>
      <c r="R47" s="87" t="s">
        <v>89</v>
      </c>
      <c r="S47" s="87">
        <v>1</v>
      </c>
      <c r="T47" s="87">
        <v>1</v>
      </c>
      <c r="U47" s="88" t="s">
        <v>73</v>
      </c>
    </row>
    <row r="48" spans="16:21" ht="27.1" hidden="1" customHeight="1" x14ac:dyDescent="0.35">
      <c r="P48" s="14">
        <v>36</v>
      </c>
      <c r="Q48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무</v>
      </c>
      <c r="R48" s="87" t="s">
        <v>89</v>
      </c>
      <c r="S48" s="87">
        <v>2</v>
      </c>
      <c r="T48" s="87">
        <v>2</v>
      </c>
      <c r="U48" s="88" t="s">
        <v>73</v>
      </c>
    </row>
    <row r="49" spans="16:21" ht="27.1" hidden="1" customHeight="1" x14ac:dyDescent="0.35">
      <c r="P49" s="14">
        <v>37</v>
      </c>
      <c r="Q49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49" s="87" t="s">
        <v>89</v>
      </c>
      <c r="S49" s="87">
        <v>3</v>
      </c>
      <c r="T49" s="87">
        <v>1</v>
      </c>
      <c r="U49" s="88" t="s">
        <v>87</v>
      </c>
    </row>
    <row r="50" spans="16:21" ht="27.1" hidden="1" customHeight="1" x14ac:dyDescent="0.35">
      <c r="P50" s="14">
        <v>38</v>
      </c>
      <c r="Q50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50" s="87" t="s">
        <v>89</v>
      </c>
      <c r="S50" s="87">
        <v>3</v>
      </c>
      <c r="T50" s="87">
        <v>1</v>
      </c>
      <c r="U50" s="88" t="s">
        <v>87</v>
      </c>
    </row>
    <row r="51" spans="16:21" ht="27.1" hidden="1" customHeight="1" x14ac:dyDescent="0.35">
      <c r="P51" s="14">
        <v>39</v>
      </c>
      <c r="Q51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51" s="87" t="s">
        <v>89</v>
      </c>
      <c r="S51" s="87"/>
      <c r="T51" s="87"/>
      <c r="U51" s="88" t="s">
        <v>75</v>
      </c>
    </row>
    <row r="52" spans="16:21" ht="27.1" hidden="1" customHeight="1" x14ac:dyDescent="0.35">
      <c r="P52" s="14">
        <v>40</v>
      </c>
      <c r="Q52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52" s="87" t="s">
        <v>89</v>
      </c>
      <c r="S52" s="87"/>
      <c r="T52" s="87"/>
      <c r="U52" s="88" t="s">
        <v>75</v>
      </c>
    </row>
    <row r="53" spans="16:21" ht="27.1" hidden="1" customHeight="1" x14ac:dyDescent="0.35">
      <c r="P53" s="14">
        <v>41</v>
      </c>
      <c r="Q53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53" s="87" t="s">
        <v>89</v>
      </c>
      <c r="S53" s="87">
        <v>5</v>
      </c>
      <c r="T53" s="87">
        <v>6</v>
      </c>
      <c r="U53" s="88" t="s">
        <v>81</v>
      </c>
    </row>
    <row r="54" spans="16:21" ht="27.1" hidden="1" customHeight="1" thickBot="1" x14ac:dyDescent="0.35">
      <c r="P54" s="183">
        <v>42</v>
      </c>
      <c r="Q54" s="92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54" s="92" t="s">
        <v>89</v>
      </c>
      <c r="S54" s="92">
        <v>0</v>
      </c>
      <c r="T54" s="92">
        <v>4</v>
      </c>
      <c r="U54" s="184" t="s">
        <v>81</v>
      </c>
    </row>
    <row r="55" spans="16:21" ht="27.1" hidden="1" customHeight="1" x14ac:dyDescent="0.35">
      <c r="P55" s="12">
        <v>43</v>
      </c>
      <c r="Q55" s="85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55" s="85" t="s">
        <v>83</v>
      </c>
      <c r="S55" s="85">
        <v>3</v>
      </c>
      <c r="T55" s="85">
        <v>2</v>
      </c>
      <c r="U55" s="86" t="s">
        <v>91</v>
      </c>
    </row>
    <row r="56" spans="16:21" ht="27.1" hidden="1" customHeight="1" x14ac:dyDescent="0.35">
      <c r="P56" s="14">
        <v>44</v>
      </c>
      <c r="Q56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56" s="87" t="s">
        <v>83</v>
      </c>
      <c r="S56" s="87">
        <v>1</v>
      </c>
      <c r="T56" s="87">
        <v>0</v>
      </c>
      <c r="U56" s="88" t="s">
        <v>91</v>
      </c>
    </row>
    <row r="57" spans="16:21" ht="27.1" hidden="1" customHeight="1" x14ac:dyDescent="0.35">
      <c r="P57" s="14">
        <v>45</v>
      </c>
      <c r="Q57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무</v>
      </c>
      <c r="R57" s="87" t="s">
        <v>83</v>
      </c>
      <c r="S57" s="87">
        <v>1</v>
      </c>
      <c r="T57" s="87">
        <v>1</v>
      </c>
      <c r="U57" s="88" t="s">
        <v>71</v>
      </c>
    </row>
    <row r="58" spans="16:21" ht="27.1" hidden="1" customHeight="1" x14ac:dyDescent="0.35">
      <c r="P58" s="14">
        <v>46</v>
      </c>
      <c r="Q58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58" s="87" t="s">
        <v>83</v>
      </c>
      <c r="S58" s="87">
        <v>1</v>
      </c>
      <c r="T58" s="87">
        <v>0</v>
      </c>
      <c r="U58" s="88" t="s">
        <v>71</v>
      </c>
    </row>
    <row r="59" spans="16:21" ht="27.1" hidden="1" customHeight="1" x14ac:dyDescent="0.35">
      <c r="P59" s="14">
        <v>47</v>
      </c>
      <c r="Q59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59" s="87" t="s">
        <v>83</v>
      </c>
      <c r="S59" s="87">
        <v>6</v>
      </c>
      <c r="T59" s="87">
        <v>2</v>
      </c>
      <c r="U59" s="88" t="s">
        <v>89</v>
      </c>
    </row>
    <row r="60" spans="16:21" ht="27.1" hidden="1" customHeight="1" x14ac:dyDescent="0.35">
      <c r="P60" s="14">
        <v>48</v>
      </c>
      <c r="Q60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60" s="87" t="s">
        <v>83</v>
      </c>
      <c r="S60" s="87">
        <v>4</v>
      </c>
      <c r="T60" s="87">
        <v>0</v>
      </c>
      <c r="U60" s="88" t="s">
        <v>89</v>
      </c>
    </row>
    <row r="61" spans="16:21" ht="27.1" hidden="1" customHeight="1" x14ac:dyDescent="0.35">
      <c r="P61" s="14">
        <v>49</v>
      </c>
      <c r="Q61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61" s="87" t="s">
        <v>83</v>
      </c>
      <c r="S61" s="87">
        <v>4</v>
      </c>
      <c r="T61" s="87">
        <v>3</v>
      </c>
      <c r="U61" s="88" t="s">
        <v>73</v>
      </c>
    </row>
    <row r="62" spans="16:21" ht="27.1" hidden="1" customHeight="1" x14ac:dyDescent="0.35">
      <c r="P62" s="14">
        <v>50</v>
      </c>
      <c r="Q62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62" s="87" t="s">
        <v>83</v>
      </c>
      <c r="S62" s="87">
        <v>4</v>
      </c>
      <c r="T62" s="87">
        <v>1</v>
      </c>
      <c r="U62" s="88" t="s">
        <v>73</v>
      </c>
    </row>
    <row r="63" spans="16:21" ht="27.1" hidden="1" customHeight="1" x14ac:dyDescent="0.35">
      <c r="P63" s="14">
        <v>51</v>
      </c>
      <c r="Q63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63" s="87" t="s">
        <v>83</v>
      </c>
      <c r="S63" s="87">
        <v>4</v>
      </c>
      <c r="T63" s="87">
        <v>0</v>
      </c>
      <c r="U63" s="88" t="s">
        <v>87</v>
      </c>
    </row>
    <row r="64" spans="16:21" ht="27.1" hidden="1" customHeight="1" x14ac:dyDescent="0.35">
      <c r="P64" s="14">
        <v>52</v>
      </c>
      <c r="Q64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64" s="87" t="s">
        <v>83</v>
      </c>
      <c r="S64" s="87">
        <v>2</v>
      </c>
      <c r="T64" s="87">
        <v>1</v>
      </c>
      <c r="U64" s="88" t="s">
        <v>87</v>
      </c>
    </row>
    <row r="65" spans="16:21" ht="27.1" hidden="1" customHeight="1" x14ac:dyDescent="0.35">
      <c r="P65" s="14">
        <v>53</v>
      </c>
      <c r="Q65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65" s="87" t="s">
        <v>83</v>
      </c>
      <c r="S65" s="87">
        <v>0</v>
      </c>
      <c r="T65" s="87">
        <v>1</v>
      </c>
      <c r="U65" s="88" t="s">
        <v>75</v>
      </c>
    </row>
    <row r="66" spans="16:21" ht="27.1" hidden="1" customHeight="1" x14ac:dyDescent="0.35">
      <c r="P66" s="14">
        <v>54</v>
      </c>
      <c r="Q66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66" s="87" t="s">
        <v>83</v>
      </c>
      <c r="S66" s="87">
        <v>2</v>
      </c>
      <c r="T66" s="87">
        <v>1</v>
      </c>
      <c r="U66" s="88" t="s">
        <v>75</v>
      </c>
    </row>
    <row r="67" spans="16:21" ht="27.1" hidden="1" customHeight="1" x14ac:dyDescent="0.35">
      <c r="P67" s="14">
        <v>55</v>
      </c>
      <c r="Q67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67" s="87" t="s">
        <v>83</v>
      </c>
      <c r="S67" s="87">
        <v>3</v>
      </c>
      <c r="T67" s="87">
        <v>6</v>
      </c>
      <c r="U67" s="88" t="s">
        <v>81</v>
      </c>
    </row>
    <row r="68" spans="16:21" ht="27.1" hidden="1" customHeight="1" x14ac:dyDescent="0.35">
      <c r="P68" s="16">
        <v>56</v>
      </c>
      <c r="Q68" s="89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68" s="89" t="s">
        <v>83</v>
      </c>
      <c r="S68" s="89">
        <v>4</v>
      </c>
      <c r="T68" s="89">
        <v>1</v>
      </c>
      <c r="U68" s="90" t="s">
        <v>81</v>
      </c>
    </row>
    <row r="69" spans="16:21" ht="27.1" hidden="1" customHeight="1" x14ac:dyDescent="0.35">
      <c r="P69" s="181">
        <v>57</v>
      </c>
      <c r="Q69" s="91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69" s="91" t="s">
        <v>73</v>
      </c>
      <c r="S69" s="91">
        <v>2</v>
      </c>
      <c r="T69" s="91">
        <v>0</v>
      </c>
      <c r="U69" s="182" t="s">
        <v>91</v>
      </c>
    </row>
    <row r="70" spans="16:21" ht="27.1" hidden="1" customHeight="1" x14ac:dyDescent="0.35">
      <c r="P70" s="14">
        <v>58</v>
      </c>
      <c r="Q70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무</v>
      </c>
      <c r="R70" s="87" t="s">
        <v>73</v>
      </c>
      <c r="S70" s="87">
        <v>3</v>
      </c>
      <c r="T70" s="87">
        <v>3</v>
      </c>
      <c r="U70" s="88" t="s">
        <v>91</v>
      </c>
    </row>
    <row r="71" spans="16:21" ht="27.1" hidden="1" customHeight="1" x14ac:dyDescent="0.35">
      <c r="P71" s="14">
        <v>59</v>
      </c>
      <c r="Q71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71" s="87" t="s">
        <v>73</v>
      </c>
      <c r="S71" s="87"/>
      <c r="T71" s="87"/>
      <c r="U71" s="88" t="s">
        <v>71</v>
      </c>
    </row>
    <row r="72" spans="16:21" ht="27.1" hidden="1" customHeight="1" x14ac:dyDescent="0.35">
      <c r="P72" s="14">
        <v>60</v>
      </c>
      <c r="Q72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72" s="87" t="s">
        <v>73</v>
      </c>
      <c r="S72" s="87"/>
      <c r="T72" s="87"/>
      <c r="U72" s="88" t="s">
        <v>71</v>
      </c>
    </row>
    <row r="73" spans="16:21" ht="27.1" hidden="1" customHeight="1" x14ac:dyDescent="0.35">
      <c r="P73" s="14">
        <v>61</v>
      </c>
      <c r="Q73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무</v>
      </c>
      <c r="R73" s="87" t="s">
        <v>73</v>
      </c>
      <c r="S73" s="87">
        <v>1</v>
      </c>
      <c r="T73" s="87">
        <v>1</v>
      </c>
      <c r="U73" s="88" t="s">
        <v>89</v>
      </c>
    </row>
    <row r="74" spans="16:21" ht="27.1" hidden="1" customHeight="1" x14ac:dyDescent="0.35">
      <c r="P74" s="14">
        <v>62</v>
      </c>
      <c r="Q74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무</v>
      </c>
      <c r="R74" s="87" t="s">
        <v>73</v>
      </c>
      <c r="S74" s="87">
        <v>2</v>
      </c>
      <c r="T74" s="87">
        <v>2</v>
      </c>
      <c r="U74" s="88" t="s">
        <v>89</v>
      </c>
    </row>
    <row r="75" spans="16:21" ht="27.1" hidden="1" customHeight="1" x14ac:dyDescent="0.35">
      <c r="P75" s="14">
        <v>63</v>
      </c>
      <c r="Q75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75" s="87" t="s">
        <v>73</v>
      </c>
      <c r="S75" s="87">
        <v>3</v>
      </c>
      <c r="T75" s="87">
        <v>4</v>
      </c>
      <c r="U75" s="88" t="s">
        <v>83</v>
      </c>
    </row>
    <row r="76" spans="16:21" ht="27.1" hidden="1" customHeight="1" x14ac:dyDescent="0.35">
      <c r="P76" s="14">
        <v>64</v>
      </c>
      <c r="Q76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76" s="87" t="s">
        <v>73</v>
      </c>
      <c r="S76" s="87">
        <v>1</v>
      </c>
      <c r="T76" s="87">
        <v>4</v>
      </c>
      <c r="U76" s="88" t="s">
        <v>83</v>
      </c>
    </row>
    <row r="77" spans="16:21" ht="27.1" hidden="1" customHeight="1" x14ac:dyDescent="0.35">
      <c r="P77" s="14">
        <v>65</v>
      </c>
      <c r="Q77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77" s="87" t="s">
        <v>73</v>
      </c>
      <c r="S77" s="87"/>
      <c r="T77" s="87"/>
      <c r="U77" s="88" t="s">
        <v>87</v>
      </c>
    </row>
    <row r="78" spans="16:21" ht="27.1" hidden="1" customHeight="1" x14ac:dyDescent="0.35">
      <c r="P78" s="14">
        <v>66</v>
      </c>
      <c r="Q78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78" s="87" t="s">
        <v>73</v>
      </c>
      <c r="S78" s="87"/>
      <c r="T78" s="87"/>
      <c r="U78" s="88" t="s">
        <v>87</v>
      </c>
    </row>
    <row r="79" spans="16:21" ht="27.1" hidden="1" customHeight="1" x14ac:dyDescent="0.35">
      <c r="P79" s="14">
        <v>67</v>
      </c>
      <c r="Q79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79" s="87" t="s">
        <v>73</v>
      </c>
      <c r="S79" s="87"/>
      <c r="T79" s="87"/>
      <c r="U79" s="88" t="s">
        <v>75</v>
      </c>
    </row>
    <row r="80" spans="16:21" ht="27.1" hidden="1" customHeight="1" x14ac:dyDescent="0.35">
      <c r="P80" s="14">
        <v>68</v>
      </c>
      <c r="Q80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80" s="87" t="s">
        <v>73</v>
      </c>
      <c r="S80" s="87"/>
      <c r="T80" s="87"/>
      <c r="U80" s="88" t="s">
        <v>75</v>
      </c>
    </row>
    <row r="81" spans="16:21" ht="27.1" hidden="1" customHeight="1" x14ac:dyDescent="0.35">
      <c r="P81" s="14">
        <v>69</v>
      </c>
      <c r="Q81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81" s="87" t="s">
        <v>73</v>
      </c>
      <c r="S81" s="87">
        <v>1</v>
      </c>
      <c r="T81" s="87">
        <v>4</v>
      </c>
      <c r="U81" s="88" t="s">
        <v>81</v>
      </c>
    </row>
    <row r="82" spans="16:21" ht="27.1" hidden="1" customHeight="1" thickBot="1" x14ac:dyDescent="0.35">
      <c r="P82" s="183">
        <v>70</v>
      </c>
      <c r="Q82" s="92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82" s="92" t="s">
        <v>73</v>
      </c>
      <c r="S82" s="92">
        <v>3</v>
      </c>
      <c r="T82" s="92">
        <v>1</v>
      </c>
      <c r="U82" s="184" t="s">
        <v>81</v>
      </c>
    </row>
    <row r="83" spans="16:21" ht="27.1" hidden="1" customHeight="1" x14ac:dyDescent="0.35">
      <c r="P83" s="181">
        <v>71</v>
      </c>
      <c r="Q83" s="91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83" s="91" t="s">
        <v>87</v>
      </c>
      <c r="S83" s="91"/>
      <c r="T83" s="91"/>
      <c r="U83" s="182" t="s">
        <v>91</v>
      </c>
    </row>
    <row r="84" spans="16:21" ht="27.1" hidden="1" customHeight="1" x14ac:dyDescent="0.35">
      <c r="P84" s="14">
        <v>72</v>
      </c>
      <c r="Q84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84" s="87" t="s">
        <v>87</v>
      </c>
      <c r="S84" s="87"/>
      <c r="T84" s="87"/>
      <c r="U84" s="88" t="s">
        <v>91</v>
      </c>
    </row>
    <row r="85" spans="16:21" ht="27.1" hidden="1" customHeight="1" x14ac:dyDescent="0.35">
      <c r="P85" s="14">
        <v>73</v>
      </c>
      <c r="Q85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85" s="87" t="s">
        <v>87</v>
      </c>
      <c r="S85" s="87">
        <v>0</v>
      </c>
      <c r="T85" s="87">
        <v>3</v>
      </c>
      <c r="U85" s="88" t="s">
        <v>71</v>
      </c>
    </row>
    <row r="86" spans="16:21" ht="27.1" hidden="1" customHeight="1" x14ac:dyDescent="0.35">
      <c r="P86" s="14">
        <v>74</v>
      </c>
      <c r="Q86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86" s="87" t="s">
        <v>87</v>
      </c>
      <c r="S86" s="87">
        <v>3</v>
      </c>
      <c r="T86" s="87">
        <v>0</v>
      </c>
      <c r="U86" s="88" t="s">
        <v>71</v>
      </c>
    </row>
    <row r="87" spans="16:21" ht="27.1" hidden="1" customHeight="1" x14ac:dyDescent="0.35">
      <c r="P87" s="14">
        <v>75</v>
      </c>
      <c r="Q87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87" s="87" t="s">
        <v>87</v>
      </c>
      <c r="S87" s="87">
        <v>1</v>
      </c>
      <c r="T87" s="87">
        <v>3</v>
      </c>
      <c r="U87" s="88" t="s">
        <v>89</v>
      </c>
    </row>
    <row r="88" spans="16:21" ht="27.1" hidden="1" customHeight="1" x14ac:dyDescent="0.35">
      <c r="P88" s="14">
        <v>76</v>
      </c>
      <c r="Q88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88" s="87" t="s">
        <v>87</v>
      </c>
      <c r="S88" s="87">
        <v>1</v>
      </c>
      <c r="T88" s="87">
        <v>3</v>
      </c>
      <c r="U88" s="88" t="s">
        <v>89</v>
      </c>
    </row>
    <row r="89" spans="16:21" ht="27.1" hidden="1" customHeight="1" x14ac:dyDescent="0.35">
      <c r="P89" s="14">
        <v>77</v>
      </c>
      <c r="Q89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89" s="87" t="s">
        <v>87</v>
      </c>
      <c r="S89" s="87">
        <v>0</v>
      </c>
      <c r="T89" s="87">
        <v>4</v>
      </c>
      <c r="U89" s="88" t="s">
        <v>83</v>
      </c>
    </row>
    <row r="90" spans="16:21" ht="27.1" hidden="1" customHeight="1" x14ac:dyDescent="0.35">
      <c r="P90" s="14">
        <v>78</v>
      </c>
      <c r="Q90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90" s="87" t="s">
        <v>87</v>
      </c>
      <c r="S90" s="87">
        <v>1</v>
      </c>
      <c r="T90" s="87">
        <v>2</v>
      </c>
      <c r="U90" s="88" t="s">
        <v>83</v>
      </c>
    </row>
    <row r="91" spans="16:21" ht="27.1" hidden="1" customHeight="1" x14ac:dyDescent="0.35">
      <c r="P91" s="14">
        <v>79</v>
      </c>
      <c r="Q91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91" s="87" t="s">
        <v>87</v>
      </c>
      <c r="S91" s="87"/>
      <c r="T91" s="87"/>
      <c r="U91" s="88" t="s">
        <v>73</v>
      </c>
    </row>
    <row r="92" spans="16:21" ht="27.1" hidden="1" customHeight="1" x14ac:dyDescent="0.35">
      <c r="P92" s="14">
        <v>80</v>
      </c>
      <c r="Q92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92" s="87" t="s">
        <v>87</v>
      </c>
      <c r="S92" s="87"/>
      <c r="T92" s="87"/>
      <c r="U92" s="88" t="s">
        <v>73</v>
      </c>
    </row>
    <row r="93" spans="16:21" ht="27.1" hidden="1" customHeight="1" x14ac:dyDescent="0.35">
      <c r="P93" s="14">
        <v>81</v>
      </c>
      <c r="Q93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93" s="87" t="s">
        <v>87</v>
      </c>
      <c r="S93" s="87"/>
      <c r="T93" s="87"/>
      <c r="U93" s="88" t="s">
        <v>75</v>
      </c>
    </row>
    <row r="94" spans="16:21" ht="27.1" hidden="1" customHeight="1" x14ac:dyDescent="0.35">
      <c r="P94" s="14">
        <v>82</v>
      </c>
      <c r="Q94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94" s="87" t="s">
        <v>87</v>
      </c>
      <c r="S94" s="87"/>
      <c r="T94" s="87"/>
      <c r="U94" s="88" t="s">
        <v>75</v>
      </c>
    </row>
    <row r="95" spans="16:21" ht="27.1" hidden="1" customHeight="1" x14ac:dyDescent="0.35">
      <c r="P95" s="14">
        <v>83</v>
      </c>
      <c r="Q95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95" s="87" t="s">
        <v>87</v>
      </c>
      <c r="S95" s="87">
        <v>0</v>
      </c>
      <c r="T95" s="87">
        <v>5</v>
      </c>
      <c r="U95" s="88" t="s">
        <v>81</v>
      </c>
    </row>
    <row r="96" spans="16:21" ht="27.1" hidden="1" customHeight="1" thickBot="1" x14ac:dyDescent="0.35">
      <c r="P96" s="183">
        <v>84</v>
      </c>
      <c r="Q96" s="92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96" s="92" t="s">
        <v>87</v>
      </c>
      <c r="S96" s="92">
        <v>1</v>
      </c>
      <c r="T96" s="92">
        <v>3</v>
      </c>
      <c r="U96" s="184" t="s">
        <v>81</v>
      </c>
    </row>
    <row r="97" spans="16:21" ht="27.1" hidden="1" customHeight="1" x14ac:dyDescent="0.35">
      <c r="P97" s="181">
        <v>85</v>
      </c>
      <c r="Q97" s="91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97" s="91" t="s">
        <v>75</v>
      </c>
      <c r="S97" s="91"/>
      <c r="T97" s="91"/>
      <c r="U97" s="182" t="s">
        <v>91</v>
      </c>
    </row>
    <row r="98" spans="16:21" ht="27.1" hidden="1" customHeight="1" x14ac:dyDescent="0.35">
      <c r="P98" s="14">
        <v>86</v>
      </c>
      <c r="Q98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98" s="87" t="s">
        <v>75</v>
      </c>
      <c r="S98" s="87"/>
      <c r="T98" s="87"/>
      <c r="U98" s="88" t="s">
        <v>91</v>
      </c>
    </row>
    <row r="99" spans="16:21" ht="27.1" hidden="1" customHeight="1" x14ac:dyDescent="0.35">
      <c r="P99" s="14">
        <v>87</v>
      </c>
      <c r="Q99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99" s="87" t="s">
        <v>75</v>
      </c>
      <c r="S99" s="87"/>
      <c r="T99" s="87"/>
      <c r="U99" s="88" t="s">
        <v>71</v>
      </c>
    </row>
    <row r="100" spans="16:21" ht="27.1" hidden="1" customHeight="1" x14ac:dyDescent="0.35">
      <c r="P100" s="14">
        <v>88</v>
      </c>
      <c r="Q100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00" s="87" t="s">
        <v>75</v>
      </c>
      <c r="S100" s="87"/>
      <c r="T100" s="87"/>
      <c r="U100" s="88" t="s">
        <v>71</v>
      </c>
    </row>
    <row r="101" spans="16:21" ht="27.1" hidden="1" customHeight="1" x14ac:dyDescent="0.35">
      <c r="P101" s="14">
        <v>89</v>
      </c>
      <c r="Q101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01" s="87" t="s">
        <v>75</v>
      </c>
      <c r="S101" s="87"/>
      <c r="T101" s="87"/>
      <c r="U101" s="88" t="s">
        <v>89</v>
      </c>
    </row>
    <row r="102" spans="16:21" ht="27.1" hidden="1" customHeight="1" x14ac:dyDescent="0.35">
      <c r="P102" s="14">
        <v>90</v>
      </c>
      <c r="Q102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02" s="87" t="s">
        <v>75</v>
      </c>
      <c r="S102" s="87"/>
      <c r="T102" s="87"/>
      <c r="U102" s="88" t="s">
        <v>89</v>
      </c>
    </row>
    <row r="103" spans="16:21" ht="27.1" hidden="1" customHeight="1" x14ac:dyDescent="0.35">
      <c r="P103" s="14">
        <v>91</v>
      </c>
      <c r="Q103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103" s="87" t="s">
        <v>75</v>
      </c>
      <c r="S103" s="87">
        <v>1</v>
      </c>
      <c r="T103" s="87">
        <v>0</v>
      </c>
      <c r="U103" s="88" t="s">
        <v>83</v>
      </c>
    </row>
    <row r="104" spans="16:21" ht="27.1" hidden="1" customHeight="1" x14ac:dyDescent="0.35">
      <c r="P104" s="14">
        <v>92</v>
      </c>
      <c r="Q104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104" s="87" t="s">
        <v>75</v>
      </c>
      <c r="S104" s="87">
        <v>1</v>
      </c>
      <c r="T104" s="87">
        <v>2</v>
      </c>
      <c r="U104" s="88" t="s">
        <v>83</v>
      </c>
    </row>
    <row r="105" spans="16:21" ht="27.1" hidden="1" customHeight="1" x14ac:dyDescent="0.35">
      <c r="P105" s="14">
        <v>93</v>
      </c>
      <c r="Q105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05" s="87" t="s">
        <v>75</v>
      </c>
      <c r="S105" s="87"/>
      <c r="T105" s="87"/>
      <c r="U105" s="88" t="s">
        <v>73</v>
      </c>
    </row>
    <row r="106" spans="16:21" ht="27.1" hidden="1" customHeight="1" x14ac:dyDescent="0.35">
      <c r="P106" s="14">
        <v>94</v>
      </c>
      <c r="Q106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06" s="87" t="s">
        <v>75</v>
      </c>
      <c r="S106" s="87"/>
      <c r="T106" s="87"/>
      <c r="U106" s="88" t="s">
        <v>73</v>
      </c>
    </row>
    <row r="107" spans="16:21" ht="27.1" hidden="1" customHeight="1" x14ac:dyDescent="0.35">
      <c r="P107" s="14">
        <v>95</v>
      </c>
      <c r="Q107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07" s="87" t="s">
        <v>75</v>
      </c>
      <c r="S107" s="87"/>
      <c r="T107" s="87"/>
      <c r="U107" s="88" t="s">
        <v>87</v>
      </c>
    </row>
    <row r="108" spans="16:21" ht="27.1" hidden="1" customHeight="1" x14ac:dyDescent="0.35">
      <c r="P108" s="14">
        <v>96</v>
      </c>
      <c r="Q108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08" s="87" t="s">
        <v>75</v>
      </c>
      <c r="S108" s="87"/>
      <c r="T108" s="87"/>
      <c r="U108" s="88" t="s">
        <v>87</v>
      </c>
    </row>
    <row r="109" spans="16:21" ht="27.1" hidden="1" customHeight="1" x14ac:dyDescent="0.35">
      <c r="P109" s="14">
        <v>97</v>
      </c>
      <c r="Q109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09" s="87" t="s">
        <v>75</v>
      </c>
      <c r="S109" s="87"/>
      <c r="T109" s="87"/>
      <c r="U109" s="88" t="s">
        <v>81</v>
      </c>
    </row>
    <row r="110" spans="16:21" ht="27.1" hidden="1" customHeight="1" thickBot="1" x14ac:dyDescent="0.35">
      <c r="P110" s="183">
        <v>98</v>
      </c>
      <c r="Q110" s="92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10" s="92" t="s">
        <v>75</v>
      </c>
      <c r="S110" s="92"/>
      <c r="T110" s="92"/>
      <c r="U110" s="184" t="s">
        <v>81</v>
      </c>
    </row>
    <row r="111" spans="16:21" ht="27.1" customHeight="1" x14ac:dyDescent="0.3">
      <c r="P111" s="181">
        <v>99</v>
      </c>
      <c r="Q111" s="91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무</v>
      </c>
      <c r="R111" s="91" t="s">
        <v>81</v>
      </c>
      <c r="S111" s="91">
        <v>1</v>
      </c>
      <c r="T111" s="91">
        <v>1</v>
      </c>
      <c r="U111" s="182" t="s">
        <v>91</v>
      </c>
    </row>
    <row r="112" spans="16:21" ht="27.1" customHeight="1" x14ac:dyDescent="0.3">
      <c r="P112" s="14">
        <v>100</v>
      </c>
      <c r="Q112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112" s="87" t="s">
        <v>81</v>
      </c>
      <c r="S112" s="87">
        <v>5</v>
      </c>
      <c r="T112" s="87">
        <v>0</v>
      </c>
      <c r="U112" s="88" t="s">
        <v>91</v>
      </c>
    </row>
    <row r="113" spans="16:21" ht="27.1" customHeight="1" x14ac:dyDescent="0.3">
      <c r="P113" s="14">
        <v>101</v>
      </c>
      <c r="Q113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113" s="87" t="s">
        <v>81</v>
      </c>
      <c r="S113" s="87">
        <v>4</v>
      </c>
      <c r="T113" s="87">
        <v>1</v>
      </c>
      <c r="U113" s="88" t="s">
        <v>71</v>
      </c>
    </row>
    <row r="114" spans="16:21" ht="27.1" customHeight="1" x14ac:dyDescent="0.3">
      <c r="P114" s="14">
        <v>102</v>
      </c>
      <c r="Q114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114" s="87" t="s">
        <v>81</v>
      </c>
      <c r="S114" s="87">
        <v>7</v>
      </c>
      <c r="T114" s="87">
        <v>1</v>
      </c>
      <c r="U114" s="88" t="s">
        <v>71</v>
      </c>
    </row>
    <row r="115" spans="16:21" ht="27.1" customHeight="1" x14ac:dyDescent="0.3">
      <c r="P115" s="14">
        <v>103</v>
      </c>
      <c r="Q115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115" s="87" t="s">
        <v>81</v>
      </c>
      <c r="S115" s="87">
        <v>6</v>
      </c>
      <c r="T115" s="87">
        <v>5</v>
      </c>
      <c r="U115" s="88" t="s">
        <v>89</v>
      </c>
    </row>
    <row r="116" spans="16:21" ht="27.1" customHeight="1" x14ac:dyDescent="0.3">
      <c r="P116" s="14">
        <v>104</v>
      </c>
      <c r="Q116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116" s="87" t="s">
        <v>81</v>
      </c>
      <c r="S116" s="87">
        <v>4</v>
      </c>
      <c r="T116" s="87">
        <v>0</v>
      </c>
      <c r="U116" s="88" t="s">
        <v>89</v>
      </c>
    </row>
    <row r="117" spans="16:21" ht="27.1" customHeight="1" x14ac:dyDescent="0.3">
      <c r="P117" s="14">
        <v>105</v>
      </c>
      <c r="Q117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117" s="87" t="s">
        <v>81</v>
      </c>
      <c r="S117" s="87">
        <v>6</v>
      </c>
      <c r="T117" s="87">
        <v>3</v>
      </c>
      <c r="U117" s="88" t="s">
        <v>83</v>
      </c>
    </row>
    <row r="118" spans="16:21" ht="27.1" customHeight="1" x14ac:dyDescent="0.3">
      <c r="P118" s="14">
        <v>106</v>
      </c>
      <c r="Q118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118" s="87" t="s">
        <v>81</v>
      </c>
      <c r="S118" s="87">
        <v>1</v>
      </c>
      <c r="T118" s="87">
        <v>4</v>
      </c>
      <c r="U118" s="88" t="s">
        <v>83</v>
      </c>
    </row>
    <row r="119" spans="16:21" ht="27.1" customHeight="1" x14ac:dyDescent="0.3">
      <c r="P119" s="14">
        <v>107</v>
      </c>
      <c r="Q119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119" s="87" t="s">
        <v>81</v>
      </c>
      <c r="S119" s="87">
        <v>4</v>
      </c>
      <c r="T119" s="87">
        <v>1</v>
      </c>
      <c r="U119" s="88" t="s">
        <v>73</v>
      </c>
    </row>
    <row r="120" spans="16:21" ht="27.1" customHeight="1" x14ac:dyDescent="0.3">
      <c r="P120" s="14">
        <v>108</v>
      </c>
      <c r="Q120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패</v>
      </c>
      <c r="R120" s="87" t="s">
        <v>81</v>
      </c>
      <c r="S120" s="87">
        <v>1</v>
      </c>
      <c r="T120" s="87">
        <v>3</v>
      </c>
      <c r="U120" s="88" t="s">
        <v>73</v>
      </c>
    </row>
    <row r="121" spans="16:21" ht="27.1" customHeight="1" x14ac:dyDescent="0.3">
      <c r="P121" s="14">
        <v>109</v>
      </c>
      <c r="Q121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121" s="87" t="s">
        <v>81</v>
      </c>
      <c r="S121" s="87">
        <v>5</v>
      </c>
      <c r="T121" s="87">
        <v>0</v>
      </c>
      <c r="U121" s="88" t="s">
        <v>87</v>
      </c>
    </row>
    <row r="122" spans="16:21" ht="27.1" customHeight="1" x14ac:dyDescent="0.3">
      <c r="P122" s="14">
        <v>110</v>
      </c>
      <c r="Q122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승</v>
      </c>
      <c r="R122" s="87" t="s">
        <v>81</v>
      </c>
      <c r="S122" s="87">
        <v>3</v>
      </c>
      <c r="T122" s="87">
        <v>1</v>
      </c>
      <c r="U122" s="88" t="s">
        <v>87</v>
      </c>
    </row>
    <row r="123" spans="16:21" ht="27.1" customHeight="1" x14ac:dyDescent="0.3">
      <c r="P123" s="14">
        <v>111</v>
      </c>
      <c r="Q123" s="87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23" s="87" t="s">
        <v>81</v>
      </c>
      <c r="S123" s="87"/>
      <c r="T123" s="87"/>
      <c r="U123" s="88" t="s">
        <v>75</v>
      </c>
    </row>
    <row r="124" spans="16:21" ht="27.1" customHeight="1" x14ac:dyDescent="0.3">
      <c r="P124" s="16">
        <v>112</v>
      </c>
      <c r="Q124" s="89" t="str">
        <f>IF(표100[[#This Row],[득점]]="","미진행",IF(표100[[#This Row],[득점]]&gt;표100[[#This Row],[실점]],"승",IF(표100[[#This Row],[득점]]=표100[[#This Row],[실점]],"무",IF(표100[[#This Row],[득점]]&lt;표100[[#This Row],[실점]],"패","미진행"))))</f>
        <v>미진행</v>
      </c>
      <c r="R124" s="89" t="s">
        <v>81</v>
      </c>
      <c r="S124" s="89"/>
      <c r="T124" s="89"/>
      <c r="U124" s="90" t="s">
        <v>75</v>
      </c>
    </row>
    <row r="125" spans="16:21" ht="27.1" customHeight="1" x14ac:dyDescent="0.3"/>
    <row r="126" spans="16:21" ht="27.1" customHeight="1" x14ac:dyDescent="0.3"/>
    <row r="127" spans="16:21" ht="27.1" customHeight="1" x14ac:dyDescent="0.3"/>
    <row r="128" spans="16:21" ht="27.1" customHeight="1" x14ac:dyDescent="0.3"/>
    <row r="129" ht="27.1" customHeight="1" x14ac:dyDescent="0.3"/>
    <row r="130" ht="27.1" customHeight="1" x14ac:dyDescent="0.3"/>
    <row r="131" ht="27.1" customHeight="1" x14ac:dyDescent="0.3"/>
    <row r="132" ht="27.1" customHeight="1" x14ac:dyDescent="0.3"/>
    <row r="133" ht="27.1" customHeight="1" x14ac:dyDescent="0.3"/>
    <row r="134" ht="27.1" customHeight="1" x14ac:dyDescent="0.3"/>
    <row r="135" ht="27.1" customHeight="1" x14ac:dyDescent="0.3"/>
    <row r="136" ht="27.1" customHeight="1" x14ac:dyDescent="0.3"/>
    <row r="137" ht="27.1" customHeight="1" x14ac:dyDescent="0.3"/>
    <row r="138" ht="27.1" customHeight="1" x14ac:dyDescent="0.3"/>
    <row r="139" ht="27.1" customHeight="1" x14ac:dyDescent="0.3"/>
    <row r="140" ht="27.1" customHeight="1" x14ac:dyDescent="0.3"/>
    <row r="141" ht="27.1" customHeight="1" x14ac:dyDescent="0.3"/>
    <row r="142" ht="27.1" customHeight="1" x14ac:dyDescent="0.3"/>
    <row r="143" ht="27.1" customHeight="1" x14ac:dyDescent="0.3"/>
    <row r="144" ht="27.1" customHeight="1" x14ac:dyDescent="0.3"/>
    <row r="145" ht="27.1" customHeight="1" x14ac:dyDescent="0.3"/>
    <row r="146" ht="27.1" customHeight="1" x14ac:dyDescent="0.3"/>
    <row r="147" ht="27.1" customHeight="1" x14ac:dyDescent="0.3"/>
    <row r="148" ht="27.1" customHeight="1" x14ac:dyDescent="0.3"/>
    <row r="149" ht="27.1" customHeight="1" x14ac:dyDescent="0.3"/>
    <row r="150" ht="27.1" customHeight="1" x14ac:dyDescent="0.3"/>
    <row r="151" ht="27.1" customHeight="1" x14ac:dyDescent="0.3"/>
    <row r="152" ht="27.1" customHeight="1" x14ac:dyDescent="0.3"/>
    <row r="153" ht="27.1" customHeight="1" x14ac:dyDescent="0.3"/>
    <row r="154" ht="27.1" customHeight="1" x14ac:dyDescent="0.3"/>
    <row r="155" ht="27.1" customHeight="1" x14ac:dyDescent="0.3"/>
    <row r="156" ht="27.1" customHeight="1" x14ac:dyDescent="0.3"/>
    <row r="157" ht="27.1" customHeight="1" x14ac:dyDescent="0.3"/>
    <row r="158" ht="27.1" customHeight="1" x14ac:dyDescent="0.3"/>
    <row r="159" ht="27.1" customHeight="1" x14ac:dyDescent="0.3"/>
    <row r="160" ht="27.1" customHeight="1" x14ac:dyDescent="0.3"/>
    <row r="161" ht="27.1" customHeight="1" x14ac:dyDescent="0.3"/>
    <row r="162" ht="27.1" customHeight="1" x14ac:dyDescent="0.3"/>
    <row r="163" ht="27.1" customHeight="1" x14ac:dyDescent="0.3"/>
    <row r="164" ht="27.1" customHeight="1" x14ac:dyDescent="0.3"/>
    <row r="165" ht="27.1" customHeight="1" x14ac:dyDescent="0.3"/>
    <row r="166" ht="27.1" customHeight="1" x14ac:dyDescent="0.3"/>
    <row r="167" ht="27.1" customHeight="1" x14ac:dyDescent="0.3"/>
    <row r="168" ht="27.1" customHeight="1" x14ac:dyDescent="0.3"/>
    <row r="169" ht="27.1" customHeight="1" x14ac:dyDescent="0.3"/>
    <row r="170" ht="27.1" customHeight="1" x14ac:dyDescent="0.3"/>
    <row r="171" ht="27.1" customHeight="1" x14ac:dyDescent="0.3"/>
    <row r="172" ht="27.1" customHeight="1" x14ac:dyDescent="0.3"/>
    <row r="173" ht="27.1" customHeight="1" x14ac:dyDescent="0.3"/>
    <row r="174" ht="27.1" customHeight="1" x14ac:dyDescent="0.3"/>
    <row r="175" ht="27.1" customHeight="1" x14ac:dyDescent="0.3"/>
    <row r="176" ht="27.1" customHeight="1" x14ac:dyDescent="0.3"/>
    <row r="177" ht="27.1" customHeight="1" x14ac:dyDescent="0.3"/>
    <row r="178" ht="27.1" customHeight="1" x14ac:dyDescent="0.3"/>
    <row r="179" ht="27.1" customHeight="1" x14ac:dyDescent="0.3"/>
    <row r="180" ht="27.1" customHeight="1" x14ac:dyDescent="0.3"/>
    <row r="181" ht="27.1" customHeight="1" x14ac:dyDescent="0.3"/>
    <row r="182" ht="27.1" customHeight="1" x14ac:dyDescent="0.3"/>
    <row r="183" ht="27.1" customHeight="1" x14ac:dyDescent="0.3"/>
    <row r="184" ht="27.1" customHeight="1" x14ac:dyDescent="0.3"/>
    <row r="185" ht="27.1" customHeight="1" x14ac:dyDescent="0.3"/>
    <row r="186" ht="27.1" customHeight="1" x14ac:dyDescent="0.3"/>
    <row r="187" ht="27.1" customHeight="1" x14ac:dyDescent="0.3"/>
    <row r="188" ht="27.1" customHeight="1" x14ac:dyDescent="0.3"/>
    <row r="189" ht="27.1" customHeight="1" x14ac:dyDescent="0.3"/>
    <row r="190" ht="27.1" customHeight="1" x14ac:dyDescent="0.3"/>
    <row r="191" ht="27.1" customHeight="1" x14ac:dyDescent="0.3"/>
    <row r="192" ht="27.1" customHeight="1" x14ac:dyDescent="0.3"/>
    <row r="193" ht="27.1" customHeight="1" x14ac:dyDescent="0.3"/>
    <row r="194" ht="27.1" customHeight="1" x14ac:dyDescent="0.3"/>
    <row r="195" ht="27.1" customHeight="1" x14ac:dyDescent="0.3"/>
    <row r="196" ht="27.1" customHeight="1" x14ac:dyDescent="0.3"/>
    <row r="197" ht="27.1" customHeight="1" x14ac:dyDescent="0.3"/>
    <row r="198" ht="27.1" customHeight="1" x14ac:dyDescent="0.3"/>
    <row r="199" ht="27.1" customHeight="1" x14ac:dyDescent="0.3"/>
    <row r="200" ht="27.1" customHeight="1" x14ac:dyDescent="0.3"/>
    <row r="201" ht="27.1" customHeight="1" x14ac:dyDescent="0.3"/>
    <row r="202" ht="27.1" customHeight="1" x14ac:dyDescent="0.3"/>
    <row r="203" ht="27.1" customHeight="1" x14ac:dyDescent="0.3"/>
    <row r="204" ht="27.1" customHeight="1" x14ac:dyDescent="0.3"/>
    <row r="205" ht="27.1" customHeight="1" x14ac:dyDescent="0.3"/>
    <row r="206" ht="27.1" customHeight="1" x14ac:dyDescent="0.3"/>
    <row r="207" ht="27.1" customHeight="1" x14ac:dyDescent="0.3"/>
    <row r="208" ht="27.1" customHeight="1" x14ac:dyDescent="0.3"/>
    <row r="209" ht="27.1" customHeight="1" x14ac:dyDescent="0.3"/>
    <row r="210" ht="27.1" customHeight="1" x14ac:dyDescent="0.3"/>
    <row r="211" ht="27.1" customHeight="1" x14ac:dyDescent="0.3"/>
    <row r="212" ht="27.1" customHeight="1" x14ac:dyDescent="0.3"/>
    <row r="213" ht="27.1" customHeight="1" x14ac:dyDescent="0.3"/>
    <row r="214" ht="27.1" customHeight="1" x14ac:dyDescent="0.3"/>
    <row r="215" ht="27.1" customHeight="1" x14ac:dyDescent="0.3"/>
    <row r="216" ht="27.1" customHeight="1" x14ac:dyDescent="0.3"/>
    <row r="217" ht="27.1" customHeight="1" x14ac:dyDescent="0.3"/>
    <row r="218" ht="27.1" customHeight="1" x14ac:dyDescent="0.3"/>
    <row r="219" ht="27.1" customHeight="1" x14ac:dyDescent="0.3"/>
    <row r="220" ht="27.1" customHeight="1" x14ac:dyDescent="0.3"/>
    <row r="221" ht="27.1" customHeight="1" x14ac:dyDescent="0.3"/>
    <row r="222" ht="27.1" customHeight="1" x14ac:dyDescent="0.3"/>
    <row r="223" ht="27.1" customHeight="1" x14ac:dyDescent="0.3"/>
    <row r="224" ht="27.1" customHeight="1" x14ac:dyDescent="0.3"/>
    <row r="225" ht="27.1" customHeight="1" x14ac:dyDescent="0.3"/>
    <row r="226" ht="27.1" customHeight="1" x14ac:dyDescent="0.3"/>
    <row r="227" ht="27.1" customHeight="1" x14ac:dyDescent="0.3"/>
    <row r="228" ht="27.1" customHeight="1" x14ac:dyDescent="0.3"/>
    <row r="229" ht="27.1" customHeight="1" x14ac:dyDescent="0.3"/>
    <row r="230" ht="27.1" customHeight="1" x14ac:dyDescent="0.3"/>
    <row r="231" ht="27.1" customHeight="1" x14ac:dyDescent="0.3"/>
    <row r="232" ht="27.1" customHeight="1" x14ac:dyDescent="0.3"/>
  </sheetData>
  <phoneticPr fontId="8" type="noConversion"/>
  <conditionalFormatting sqref="N3:N10">
    <cfRule type="cellIs" dxfId="2" priority="2" operator="greaterThan">
      <formula>$N$3</formula>
    </cfRule>
  </conditionalFormatting>
  <conditionalFormatting sqref="Q13:Q124">
    <cfRule type="cellIs" dxfId="1" priority="3" operator="equal">
      <formula>"미진행"</formula>
    </cfRule>
  </conditionalFormatting>
  <conditionalFormatting sqref="U12">
    <cfRule type="cellIs" dxfId="0" priority="4" operator="equal">
      <formula>"파리"</formula>
    </cfRule>
  </conditionalFormatting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C330B-98B2-4916-B11A-50F1B466CE25}">
  <sheetPr>
    <tabColor rgb="FFFFFF00"/>
  </sheetPr>
  <dimension ref="B1:AD49"/>
  <sheetViews>
    <sheetView showGridLines="0" zoomScale="115" zoomScaleNormal="115" workbookViewId="0">
      <selection activeCell="E13" sqref="E13:M13"/>
    </sheetView>
  </sheetViews>
  <sheetFormatPr defaultRowHeight="24.95" customHeight="1" x14ac:dyDescent="0.3"/>
  <cols>
    <col min="1" max="1" width="3.625" customWidth="1"/>
    <col min="2" max="2" width="6.625" customWidth="1"/>
    <col min="3" max="3" width="1.625" customWidth="1"/>
    <col min="5" max="5" width="19.5" customWidth="1"/>
    <col min="6" max="9" width="5.875" customWidth="1"/>
    <col min="10" max="12" width="5.125" customWidth="1"/>
    <col min="13" max="13" width="9.875" customWidth="1"/>
    <col min="14" max="14" width="4.625" customWidth="1"/>
    <col min="15" max="15" width="17.625" bestFit="1" customWidth="1"/>
    <col min="16" max="16" width="16" bestFit="1" customWidth="1"/>
    <col min="17" max="18" width="15.125" bestFit="1" customWidth="1"/>
    <col min="19" max="19" width="16" bestFit="1" customWidth="1"/>
    <col min="20" max="20" width="17.625" bestFit="1" customWidth="1"/>
    <col min="21" max="21" width="1.625" customWidth="1"/>
    <col min="22" max="22" width="16" hidden="1" customWidth="1"/>
    <col min="23" max="23" width="14" hidden="1" customWidth="1"/>
    <col min="24" max="26" width="12.125" hidden="1" customWidth="1"/>
    <col min="27" max="29" width="14" hidden="1" customWidth="1"/>
    <col min="30" max="30" width="17.625" hidden="1" customWidth="1"/>
    <col min="31" max="38" width="9" customWidth="1"/>
  </cols>
  <sheetData>
    <row r="1" spans="2:30" ht="24.95" customHeight="1" thickBot="1" x14ac:dyDescent="0.35"/>
    <row r="2" spans="2:30" ht="24.95" customHeight="1" thickBot="1" x14ac:dyDescent="0.35">
      <c r="D2" s="201" t="s">
        <v>99</v>
      </c>
      <c r="E2" s="202"/>
      <c r="F2" s="202"/>
      <c r="G2" s="202"/>
      <c r="H2" s="202"/>
      <c r="I2" s="202"/>
      <c r="J2" s="202"/>
      <c r="K2" s="202"/>
      <c r="L2" s="202"/>
      <c r="M2" s="203"/>
    </row>
    <row r="3" spans="2:30" ht="24.95" customHeight="1" thickBot="1" x14ac:dyDescent="0.35">
      <c r="O3" s="204" t="s">
        <v>62</v>
      </c>
      <c r="P3" s="205"/>
      <c r="Q3" s="205"/>
      <c r="R3" s="205"/>
      <c r="S3" s="205"/>
      <c r="T3" s="206"/>
      <c r="X3" s="1" t="s">
        <v>4</v>
      </c>
      <c r="Y3" s="1" t="s">
        <v>2</v>
      </c>
      <c r="Z3" s="1" t="s">
        <v>10</v>
      </c>
    </row>
    <row r="4" spans="2:30" ht="24.95" customHeight="1" thickBot="1" x14ac:dyDescent="0.35">
      <c r="B4" s="198" t="s">
        <v>62</v>
      </c>
      <c r="D4" s="137" t="s">
        <v>31</v>
      </c>
      <c r="E4" s="43" t="s">
        <v>5</v>
      </c>
      <c r="F4" s="44" t="s">
        <v>29</v>
      </c>
      <c r="G4" s="45" t="s">
        <v>4</v>
      </c>
      <c r="H4" s="45" t="s">
        <v>2</v>
      </c>
      <c r="I4" s="45" t="s">
        <v>10</v>
      </c>
      <c r="J4" s="46" t="s">
        <v>22</v>
      </c>
      <c r="K4" s="45" t="s">
        <v>24</v>
      </c>
      <c r="L4" s="47" t="s">
        <v>26</v>
      </c>
      <c r="M4" s="47" t="s">
        <v>32</v>
      </c>
      <c r="O4" s="157" t="s">
        <v>15</v>
      </c>
      <c r="P4" s="10" t="s">
        <v>16</v>
      </c>
      <c r="Q4" s="158" t="s">
        <v>17</v>
      </c>
      <c r="R4" s="9" t="s">
        <v>18</v>
      </c>
      <c r="S4" s="10" t="s">
        <v>19</v>
      </c>
      <c r="T4" s="11" t="s">
        <v>20</v>
      </c>
      <c r="V4" s="1" t="s">
        <v>30</v>
      </c>
      <c r="W4" s="1" t="s">
        <v>28</v>
      </c>
      <c r="X4" s="1" t="s">
        <v>3</v>
      </c>
      <c r="Y4" s="1" t="s">
        <v>1</v>
      </c>
      <c r="Z4" s="1" t="s">
        <v>9</v>
      </c>
      <c r="AA4" s="1" t="s">
        <v>21</v>
      </c>
      <c r="AB4" s="1" t="s">
        <v>23</v>
      </c>
      <c r="AC4" s="1" t="s">
        <v>25</v>
      </c>
      <c r="AD4" s="1" t="s">
        <v>27</v>
      </c>
    </row>
    <row r="5" spans="2:30" ht="24.95" customHeight="1" thickBot="1" x14ac:dyDescent="0.35">
      <c r="B5" s="199"/>
      <c r="D5" s="138">
        <v>1</v>
      </c>
      <c r="E5" s="51" t="str" cm="1">
        <f t="array" ref="E5:M8">_xlfn._xlws.SORT(_xlfn._xlws.SORT(_xlfn._xlws.SORT(_xlfn._xlws.SORT((_xlfn._xlws.FILTER(표2_4[],표2_4[경기]&gt;(-1),)),7,1),6,-1),8,-1),9,-1)</f>
        <v>프랑스</v>
      </c>
      <c r="F5" s="39">
        <v>6</v>
      </c>
      <c r="G5" s="40">
        <v>2</v>
      </c>
      <c r="H5" s="40">
        <v>2</v>
      </c>
      <c r="I5" s="40">
        <v>2</v>
      </c>
      <c r="J5" s="41">
        <v>17</v>
      </c>
      <c r="K5" s="40">
        <v>16</v>
      </c>
      <c r="L5" s="42">
        <v>1</v>
      </c>
      <c r="M5" s="48">
        <v>8</v>
      </c>
      <c r="O5" s="21" t="str">
        <f t="shared" ref="O5:O16" si="0">IF(Q5="","",IF(Q5&gt;R5,"승",IF(Q5=R5,"무",IF(Q5&lt;R5,"패",""))))</f>
        <v>승</v>
      </c>
      <c r="P5" s="7" t="str">
        <f>V5</f>
        <v>브라질</v>
      </c>
      <c r="Q5" s="22">
        <v>4</v>
      </c>
      <c r="R5" s="14">
        <v>1</v>
      </c>
      <c r="S5" s="7" t="str">
        <f>V6</f>
        <v>이탈리아</v>
      </c>
      <c r="T5" s="15" t="str">
        <f t="shared" ref="T5:T16" si="1">IF(O5="","",IF(O5="무","무",IF(O5="승","패","승")))</f>
        <v>패</v>
      </c>
      <c r="V5" t="s">
        <v>90</v>
      </c>
      <c r="W5" s="1">
        <f>표2_4[[#This Row],[승]]+표2_4[[#This Row],[무]]+표2_4[[#This Row],[패]]</f>
        <v>6</v>
      </c>
      <c r="X5" s="1">
        <f>COUNTIFS(챔스A[팀1 결과],X$3,챔스A[팀1],표2_4[[#This Row],[팀]])+COUNTIFS(챔스A[팀2 결과],X$3,챔스A[팀2],표2_4[[#This Row],[팀]])</f>
        <v>2</v>
      </c>
      <c r="Y5" s="1">
        <f>COUNTIFS(챔스A[팀1 결과],Y$3,챔스A[팀1],표2_4[[#This Row],[팀]])+COUNTIFS(챔스A[팀2 결과],Y$3,챔스A[팀2],표2_4[[#This Row],[팀]])</f>
        <v>1</v>
      </c>
      <c r="Z5" s="1">
        <f>COUNTIFS(챔스A[팀1 결과],Z$3,챔스A[팀1],표2_4[[#This Row],[팀]])+COUNTIFS(챔스A[팀2 결과],Z$3,챔스A[팀2],표2_4[[#This Row],[팀]])</f>
        <v>3</v>
      </c>
      <c r="AA5" s="1">
        <f>SUMIF(챔스A[팀1],표2_4[[#This Row],[팀]],챔스A[팀1 S])+SUMIF(챔스A[팀2],표2_4[[#This Row],[팀]],챔스A[팀2 S])</f>
        <v>17</v>
      </c>
      <c r="AB5" s="1">
        <f>SUMIF(챔스A[팀1],표2_4[[#This Row],[팀]],챔스A[팀2 S])+SUMIF(챔스A[팀2],표2_4[[#This Row],[팀]],챔스A[팀1 S])</f>
        <v>17</v>
      </c>
      <c r="AC5" s="1">
        <f>표2_4[[#This Row],[득점]]-표2_4[[#This Row],[실점]]</f>
        <v>0</v>
      </c>
      <c r="AD5" s="1">
        <f>표2_4[[#This Row],[승]]*3+표2_4[[#This Row],[무]]</f>
        <v>7</v>
      </c>
    </row>
    <row r="6" spans="2:30" ht="24.95" customHeight="1" thickBot="1" x14ac:dyDescent="0.35">
      <c r="B6" s="199"/>
      <c r="D6" s="139">
        <v>2</v>
      </c>
      <c r="E6" s="52" t="str">
        <v>포르투갈</v>
      </c>
      <c r="F6" s="32">
        <v>4</v>
      </c>
      <c r="G6" s="33">
        <v>2</v>
      </c>
      <c r="H6" s="33">
        <v>1</v>
      </c>
      <c r="I6" s="33">
        <v>1</v>
      </c>
      <c r="J6" s="34">
        <v>10</v>
      </c>
      <c r="K6" s="33">
        <v>9</v>
      </c>
      <c r="L6" s="35">
        <v>1</v>
      </c>
      <c r="M6" s="49">
        <v>7</v>
      </c>
      <c r="O6" s="24" t="str">
        <f t="shared" si="0"/>
        <v>패</v>
      </c>
      <c r="P6" s="17" t="str">
        <f>V5</f>
        <v>브라질</v>
      </c>
      <c r="Q6" s="25">
        <v>2</v>
      </c>
      <c r="R6" s="16">
        <v>4</v>
      </c>
      <c r="S6" s="17" t="str">
        <f>V6</f>
        <v>이탈리아</v>
      </c>
      <c r="T6" s="18" t="str">
        <f t="shared" si="1"/>
        <v>승</v>
      </c>
      <c r="V6" t="s">
        <v>74</v>
      </c>
      <c r="W6" s="1">
        <f>표2_4[[#This Row],[승]]+표2_4[[#This Row],[무]]+표2_4[[#This Row],[패]]</f>
        <v>4</v>
      </c>
      <c r="X6" s="1">
        <f>COUNTIFS(챔스A[팀1 결과],X$3,챔스A[팀1],표2_4[[#This Row],[팀]])+COUNTIFS(챔스A[팀2 결과],X$3,챔스A[팀2],표2_4[[#This Row],[팀]])</f>
        <v>2</v>
      </c>
      <c r="Y6" s="1">
        <f>COUNTIFS(챔스A[팀1 결과],Y$3,챔스A[팀1],표2_4[[#This Row],[팀]])+COUNTIFS(챔스A[팀2 결과],Y$3,챔스A[팀2],표2_4[[#This Row],[팀]])</f>
        <v>0</v>
      </c>
      <c r="Z6" s="1">
        <f>COUNTIFS(챔스A[팀1 결과],Z$3,챔스A[팀1],표2_4[[#This Row],[팀]])+COUNTIFS(챔스A[팀2 결과],Z$3,챔스A[팀2],표2_4[[#This Row],[팀]])</f>
        <v>2</v>
      </c>
      <c r="AA6" s="1">
        <f>SUMIF(챔스A[팀1],표2_4[[#This Row],[팀]],챔스A[팀1 S])+SUMIF(챔스A[팀2],표2_4[[#This Row],[팀]],챔스A[팀2 S])</f>
        <v>9</v>
      </c>
      <c r="AB6" s="1">
        <f>SUMIF(챔스A[팀1],표2_4[[#This Row],[팀]],챔스A[팀2 S])+SUMIF(챔스A[팀2],표2_4[[#This Row],[팀]],챔스A[팀1 S])</f>
        <v>11</v>
      </c>
      <c r="AC6" s="1">
        <f>표2_4[[#This Row],[득점]]-표2_4[[#This Row],[실점]]</f>
        <v>-2</v>
      </c>
      <c r="AD6" s="1">
        <f>표2_4[[#This Row],[승]]*3+표2_4[[#This Row],[무]]</f>
        <v>6</v>
      </c>
    </row>
    <row r="7" spans="2:30" ht="24.95" customHeight="1" thickBot="1" x14ac:dyDescent="0.35">
      <c r="B7" s="199"/>
      <c r="D7" s="140">
        <v>3</v>
      </c>
      <c r="E7" s="53" t="str">
        <v>브라질</v>
      </c>
      <c r="F7" s="28">
        <v>6</v>
      </c>
      <c r="G7" s="29">
        <v>2</v>
      </c>
      <c r="H7" s="29">
        <v>1</v>
      </c>
      <c r="I7" s="29">
        <v>3</v>
      </c>
      <c r="J7" s="30">
        <v>17</v>
      </c>
      <c r="K7" s="29">
        <v>17</v>
      </c>
      <c r="L7" s="31">
        <v>0</v>
      </c>
      <c r="M7" s="50">
        <v>7</v>
      </c>
      <c r="O7" s="153" t="str">
        <f t="shared" si="0"/>
        <v>패</v>
      </c>
      <c r="P7" s="121" t="str">
        <f>V5</f>
        <v>브라질</v>
      </c>
      <c r="Q7" s="154">
        <v>1</v>
      </c>
      <c r="R7" s="155">
        <v>2</v>
      </c>
      <c r="S7" s="121" t="str">
        <f>V7</f>
        <v>포르투갈</v>
      </c>
      <c r="T7" s="154" t="str">
        <f t="shared" si="1"/>
        <v>승</v>
      </c>
      <c r="V7" t="s">
        <v>76</v>
      </c>
      <c r="W7" s="1">
        <f>표2_4[[#This Row],[승]]+표2_4[[#This Row],[무]]+표2_4[[#This Row],[패]]</f>
        <v>4</v>
      </c>
      <c r="X7" s="1">
        <f>COUNTIFS(챔스A[팀1 결과],X$3,챔스A[팀1],표2_4[[#This Row],[팀]])+COUNTIFS(챔스A[팀2 결과],X$3,챔스A[팀2],표2_4[[#This Row],[팀]])</f>
        <v>2</v>
      </c>
      <c r="Y7" s="1">
        <f>COUNTIFS(챔스A[팀1 결과],Y$3,챔스A[팀1],표2_4[[#This Row],[팀]])+COUNTIFS(챔스A[팀2 결과],Y$3,챔스A[팀2],표2_4[[#This Row],[팀]])</f>
        <v>1</v>
      </c>
      <c r="Z7" s="1">
        <f>COUNTIFS(챔스A[팀1 결과],Z$3,챔스A[팀1],표2_4[[#This Row],[팀]])+COUNTIFS(챔스A[팀2 결과],Z$3,챔스A[팀2],표2_4[[#This Row],[팀]])</f>
        <v>1</v>
      </c>
      <c r="AA7" s="1">
        <f>SUMIF(챔스A[팀1],표2_4[[#This Row],[팀]],챔스A[팀1 S])+SUMIF(챔스A[팀2],표2_4[[#This Row],[팀]],챔스A[팀2 S])</f>
        <v>10</v>
      </c>
      <c r="AB7" s="1">
        <f>SUMIF(챔스A[팀1],표2_4[[#This Row],[팀]],챔스A[팀2 S])+SUMIF(챔스A[팀2],표2_4[[#This Row],[팀]],챔스A[팀1 S])</f>
        <v>9</v>
      </c>
      <c r="AC7" s="1">
        <f>표2_4[[#This Row],[득점]]-표2_4[[#This Row],[실점]]</f>
        <v>1</v>
      </c>
      <c r="AD7" s="1">
        <f>표2_4[[#This Row],[승]]*3+표2_4[[#This Row],[무]]</f>
        <v>7</v>
      </c>
    </row>
    <row r="8" spans="2:30" ht="24.95" customHeight="1" thickBot="1" x14ac:dyDescent="0.35">
      <c r="B8" s="200"/>
      <c r="D8" s="141">
        <v>4</v>
      </c>
      <c r="E8" s="54" t="str">
        <v>이탈리아</v>
      </c>
      <c r="F8" s="55">
        <v>4</v>
      </c>
      <c r="G8" s="56">
        <v>2</v>
      </c>
      <c r="H8" s="56">
        <v>0</v>
      </c>
      <c r="I8" s="56">
        <v>2</v>
      </c>
      <c r="J8" s="57">
        <v>9</v>
      </c>
      <c r="K8" s="56">
        <v>11</v>
      </c>
      <c r="L8" s="58">
        <v>-2</v>
      </c>
      <c r="M8" s="59">
        <v>6</v>
      </c>
      <c r="O8" s="149" t="str">
        <f t="shared" si="0"/>
        <v>승</v>
      </c>
      <c r="P8" s="150" t="str">
        <f>V5</f>
        <v>브라질</v>
      </c>
      <c r="Q8" s="151">
        <v>4</v>
      </c>
      <c r="R8" s="152">
        <v>2</v>
      </c>
      <c r="S8" s="150" t="str">
        <f>V7</f>
        <v>포르투갈</v>
      </c>
      <c r="T8" s="151" t="str">
        <f t="shared" si="1"/>
        <v>패</v>
      </c>
      <c r="V8" t="s">
        <v>82</v>
      </c>
      <c r="W8" s="1">
        <f>표2_4[[#This Row],[승]]+표2_4[[#This Row],[무]]+표2_4[[#This Row],[패]]</f>
        <v>6</v>
      </c>
      <c r="X8" s="1">
        <f>COUNTIFS(챔스A[팀1 결과],X$3,챔스A[팀1],표2_4[[#This Row],[팀]])+COUNTIFS(챔스A[팀2 결과],X$3,챔스A[팀2],표2_4[[#This Row],[팀]])</f>
        <v>2</v>
      </c>
      <c r="Y8" s="1">
        <f>COUNTIFS(챔스A[팀1 결과],Y$3,챔스A[팀1],표2_4[[#This Row],[팀]])+COUNTIFS(챔스A[팀2 결과],Y$3,챔스A[팀2],표2_4[[#This Row],[팀]])</f>
        <v>2</v>
      </c>
      <c r="Z8" s="1">
        <f>COUNTIFS(챔스A[팀1 결과],Z$3,챔스A[팀1],표2_4[[#This Row],[팀]])+COUNTIFS(챔스A[팀2 결과],Z$3,챔스A[팀2],표2_4[[#This Row],[팀]])</f>
        <v>2</v>
      </c>
      <c r="AA8" s="1">
        <f>SUMIF(챔스A[팀1],표2_4[[#This Row],[팀]],챔스A[팀1 S])+SUMIF(챔스A[팀2],표2_4[[#This Row],[팀]],챔스A[팀2 S])</f>
        <v>17</v>
      </c>
      <c r="AB8" s="1">
        <f>SUMIF(챔스A[팀1],표2_4[[#This Row],[팀]],챔스A[팀2 S])+SUMIF(챔스A[팀2],표2_4[[#This Row],[팀]],챔스A[팀1 S])</f>
        <v>16</v>
      </c>
      <c r="AC8" s="1">
        <f>표2_4[[#This Row],[득점]]-표2_4[[#This Row],[실점]]</f>
        <v>1</v>
      </c>
      <c r="AD8" s="1">
        <f>표2_4[[#This Row],[승]]*3+표2_4[[#This Row],[무]]</f>
        <v>8</v>
      </c>
    </row>
    <row r="9" spans="2:30" ht="24.95" customHeight="1" thickBot="1" x14ac:dyDescent="0.35">
      <c r="O9" s="19" t="str">
        <f t="shared" si="0"/>
        <v>패</v>
      </c>
      <c r="P9" s="6" t="str">
        <f>V5</f>
        <v>브라질</v>
      </c>
      <c r="Q9" s="20">
        <v>2</v>
      </c>
      <c r="R9" s="12">
        <v>4</v>
      </c>
      <c r="S9" s="6" t="str">
        <f>V8</f>
        <v>프랑스</v>
      </c>
      <c r="T9" s="13" t="str">
        <f t="shared" si="1"/>
        <v>승</v>
      </c>
    </row>
    <row r="10" spans="2:30" ht="24.95" customHeight="1" thickBot="1" x14ac:dyDescent="0.35">
      <c r="B10" s="198" t="s">
        <v>63</v>
      </c>
      <c r="D10" s="137" t="s">
        <v>41</v>
      </c>
      <c r="E10" s="43" t="s">
        <v>5</v>
      </c>
      <c r="F10" s="44" t="s">
        <v>29</v>
      </c>
      <c r="G10" s="45" t="s">
        <v>4</v>
      </c>
      <c r="H10" s="45" t="s">
        <v>2</v>
      </c>
      <c r="I10" s="45" t="s">
        <v>10</v>
      </c>
      <c r="J10" s="46" t="s">
        <v>22</v>
      </c>
      <c r="K10" s="45" t="s">
        <v>24</v>
      </c>
      <c r="L10" s="47" t="s">
        <v>26</v>
      </c>
      <c r="M10" s="47" t="s">
        <v>32</v>
      </c>
      <c r="O10" s="24" t="str">
        <f t="shared" si="0"/>
        <v>무</v>
      </c>
      <c r="P10" s="17" t="str">
        <f>V5</f>
        <v>브라질</v>
      </c>
      <c r="Q10" s="25">
        <v>4</v>
      </c>
      <c r="R10" s="16">
        <v>4</v>
      </c>
      <c r="S10" s="17" t="str">
        <f>V8</f>
        <v>프랑스</v>
      </c>
      <c r="T10" s="18" t="str">
        <f t="shared" si="1"/>
        <v>무</v>
      </c>
      <c r="X10" s="1" t="s">
        <v>4</v>
      </c>
      <c r="Y10" s="1" t="s">
        <v>2</v>
      </c>
      <c r="Z10" s="1" t="s">
        <v>10</v>
      </c>
    </row>
    <row r="11" spans="2:30" ht="24.95" customHeight="1" thickBot="1" x14ac:dyDescent="0.35">
      <c r="B11" s="199"/>
      <c r="D11" s="138">
        <v>1</v>
      </c>
      <c r="E11" s="51" t="str" cm="1">
        <f t="array" ref="E11:M14">_xlfn._xlws.SORT(_xlfn._xlws.SORT(_xlfn._xlws.SORT(_xlfn._xlws.SORT((_xlfn._xlws.FILTER(표2_46[],표2_46[경기]&gt;(-1),)),7,1),6,-1),8,-1),9,-1)</f>
        <v>아르헨티나</v>
      </c>
      <c r="F11" s="39">
        <v>6</v>
      </c>
      <c r="G11" s="40">
        <v>2</v>
      </c>
      <c r="H11" s="40">
        <v>4</v>
      </c>
      <c r="I11" s="40">
        <v>0</v>
      </c>
      <c r="J11" s="41">
        <v>13</v>
      </c>
      <c r="K11" s="40">
        <v>8</v>
      </c>
      <c r="L11" s="42">
        <v>5</v>
      </c>
      <c r="M11" s="48">
        <v>10</v>
      </c>
      <c r="O11" s="153" t="str">
        <f t="shared" si="0"/>
        <v/>
      </c>
      <c r="P11" s="121" t="str">
        <f>V6</f>
        <v>이탈리아</v>
      </c>
      <c r="Q11" s="154"/>
      <c r="R11" s="155"/>
      <c r="S11" s="121" t="str">
        <f>V7</f>
        <v>포르투갈</v>
      </c>
      <c r="T11" s="154" t="str">
        <f t="shared" si="1"/>
        <v/>
      </c>
      <c r="V11" s="1" t="s">
        <v>30</v>
      </c>
      <c r="W11" s="1" t="s">
        <v>28</v>
      </c>
      <c r="X11" s="1" t="s">
        <v>3</v>
      </c>
      <c r="Y11" s="1" t="s">
        <v>1</v>
      </c>
      <c r="Z11" s="1" t="s">
        <v>9</v>
      </c>
      <c r="AA11" s="1" t="s">
        <v>21</v>
      </c>
      <c r="AB11" s="1" t="s">
        <v>23</v>
      </c>
      <c r="AC11" s="1" t="s">
        <v>25</v>
      </c>
      <c r="AD11" s="1" t="s">
        <v>27</v>
      </c>
    </row>
    <row r="12" spans="2:30" ht="24.95" customHeight="1" thickBot="1" x14ac:dyDescent="0.35">
      <c r="B12" s="199"/>
      <c r="D12" s="139">
        <v>2</v>
      </c>
      <c r="E12" s="52" t="str">
        <v>잉글랜드</v>
      </c>
      <c r="F12" s="32">
        <v>6</v>
      </c>
      <c r="G12" s="33">
        <v>2</v>
      </c>
      <c r="H12" s="33">
        <v>3</v>
      </c>
      <c r="I12" s="33">
        <v>1</v>
      </c>
      <c r="J12" s="34">
        <v>11</v>
      </c>
      <c r="K12" s="33">
        <v>10</v>
      </c>
      <c r="L12" s="35">
        <v>1</v>
      </c>
      <c r="M12" s="49">
        <v>9</v>
      </c>
      <c r="O12" s="149" t="str">
        <f t="shared" si="0"/>
        <v/>
      </c>
      <c r="P12" s="150" t="str">
        <f>V6</f>
        <v>이탈리아</v>
      </c>
      <c r="Q12" s="151"/>
      <c r="R12" s="152"/>
      <c r="S12" s="150" t="str">
        <f>V7</f>
        <v>포르투갈</v>
      </c>
      <c r="T12" s="151" t="str">
        <f t="shared" si="1"/>
        <v/>
      </c>
      <c r="V12" t="s">
        <v>92</v>
      </c>
      <c r="W12" s="1">
        <f>표2_46[[#This Row],[승]]+표2_46[[#This Row],[무]]+표2_46[[#This Row],[패]]</f>
        <v>6</v>
      </c>
      <c r="X12" s="1">
        <f>COUNTIFS(챔스A_7[팀1 결과],X$10,챔스A_7[팀1],표2_46[[#This Row],[팀]])+COUNTIFS(챔스A_7[팀2 결과],X$10,챔스A_7[팀2],표2_46[[#This Row],[팀]])</f>
        <v>1</v>
      </c>
      <c r="Y12" s="1">
        <f>COUNTIFS(챔스A_7[팀1 결과],Y$10,챔스A_7[팀1],표2_46[[#This Row],[팀]])+COUNTIFS(챔스A_7[팀2 결과],Y$10,챔스A_7[팀2],표2_46[[#This Row],[팀]])</f>
        <v>0</v>
      </c>
      <c r="Z12" s="1">
        <f>COUNTIFS(챔스A_7[팀1 결과],Z$10,챔스A_7[팀1],표2_46[[#This Row],[팀]])+COUNTIFS(챔스A_7[팀2 결과],Z$10,챔스A_7[팀2],표2_46[[#This Row],[팀]])</f>
        <v>5</v>
      </c>
      <c r="AA12" s="1">
        <f>SUMIF(챔스A_7[팀1],표2_46[[#This Row],[팀]],챔스A_7[팀1 S])+SUMIF(챔스A_7[팀2],표2_46[[#This Row],[팀]],챔스A_7[팀2 S])</f>
        <v>10</v>
      </c>
      <c r="AB12" s="1">
        <f>SUMIF(챔스A_7[팀1],표2_46[[#This Row],[팀]],챔스A_7[팀2 S])+SUMIF(챔스A_7[팀2],표2_46[[#This Row],[팀]],챔스A_7[팀1 S])</f>
        <v>16</v>
      </c>
      <c r="AC12" s="1">
        <f>표2_46[[#This Row],[득점]]-표2_46[[#This Row],[실점]]</f>
        <v>-6</v>
      </c>
      <c r="AD12" s="1">
        <f>표2_46[[#This Row],[승]]*3+표2_46[[#This Row],[무]]</f>
        <v>3</v>
      </c>
    </row>
    <row r="13" spans="2:30" ht="24.95" customHeight="1" thickBot="1" x14ac:dyDescent="0.35">
      <c r="B13" s="199"/>
      <c r="D13" s="140">
        <v>3</v>
      </c>
      <c r="E13" s="53" t="str">
        <v>스페인</v>
      </c>
      <c r="F13" s="28">
        <v>6</v>
      </c>
      <c r="G13" s="29">
        <v>2</v>
      </c>
      <c r="H13" s="29">
        <v>3</v>
      </c>
      <c r="I13" s="29">
        <v>1</v>
      </c>
      <c r="J13" s="30">
        <v>13</v>
      </c>
      <c r="K13" s="29">
        <v>13</v>
      </c>
      <c r="L13" s="31">
        <v>0</v>
      </c>
      <c r="M13" s="50">
        <v>9</v>
      </c>
      <c r="O13" s="153" t="str">
        <f t="shared" si="0"/>
        <v>패</v>
      </c>
      <c r="P13" s="121" t="str">
        <f>V6</f>
        <v>이탈리아</v>
      </c>
      <c r="Q13" s="154">
        <v>1</v>
      </c>
      <c r="R13" s="155">
        <v>4</v>
      </c>
      <c r="S13" s="121" t="str">
        <f>V8</f>
        <v>프랑스</v>
      </c>
      <c r="T13" s="154" t="str">
        <f t="shared" si="1"/>
        <v>승</v>
      </c>
      <c r="V13" t="s">
        <v>84</v>
      </c>
      <c r="W13" s="1">
        <f>표2_46[[#This Row],[승]]+표2_46[[#This Row],[무]]+표2_46[[#This Row],[패]]</f>
        <v>6</v>
      </c>
      <c r="X13" s="1">
        <f>COUNTIFS(챔스A_7[팀1 결과],X$10,챔스A_7[팀1],표2_46[[#This Row],[팀]])+COUNTIFS(챔스A_7[팀2 결과],X$10,챔스A_7[팀2],표2_46[[#This Row],[팀]])</f>
        <v>2</v>
      </c>
      <c r="Y13" s="1">
        <f>COUNTIFS(챔스A_7[팀1 결과],Y$10,챔스A_7[팀1],표2_46[[#This Row],[팀]])+COUNTIFS(챔스A_7[팀2 결과],Y$10,챔스A_7[팀2],표2_46[[#This Row],[팀]])</f>
        <v>3</v>
      </c>
      <c r="Z13" s="1">
        <f>COUNTIFS(챔스A_7[팀1 결과],Z$10,챔스A_7[팀1],표2_46[[#This Row],[팀]])+COUNTIFS(챔스A_7[팀2 결과],Z$10,챔스A_7[팀2],표2_46[[#This Row],[팀]])</f>
        <v>1</v>
      </c>
      <c r="AA13" s="1">
        <f>SUMIF(챔스A_7[팀1],표2_46[[#This Row],[팀]],챔스A_7[팀1 S])+SUMIF(챔스A_7[팀2],표2_46[[#This Row],[팀]],챔스A_7[팀2 S])</f>
        <v>13</v>
      </c>
      <c r="AB13" s="1">
        <f>SUMIF(챔스A_7[팀1],표2_46[[#This Row],[팀]],챔스A_7[팀2 S])+SUMIF(챔스A_7[팀2],표2_46[[#This Row],[팀]],챔스A_7[팀1 S])</f>
        <v>13</v>
      </c>
      <c r="AC13" s="1">
        <f>표2_46[[#This Row],[득점]]-표2_46[[#This Row],[실점]]</f>
        <v>0</v>
      </c>
      <c r="AD13" s="1">
        <f>표2_46[[#This Row],[승]]*3+표2_46[[#This Row],[무]]</f>
        <v>9</v>
      </c>
    </row>
    <row r="14" spans="2:30" ht="24.95" customHeight="1" thickBot="1" x14ac:dyDescent="0.35">
      <c r="B14" s="200"/>
      <c r="D14" s="141">
        <v>4</v>
      </c>
      <c r="E14" s="54" t="str">
        <v>대한민국</v>
      </c>
      <c r="F14" s="55">
        <v>6</v>
      </c>
      <c r="G14" s="56">
        <v>1</v>
      </c>
      <c r="H14" s="56">
        <v>0</v>
      </c>
      <c r="I14" s="56">
        <v>5</v>
      </c>
      <c r="J14" s="57">
        <v>10</v>
      </c>
      <c r="K14" s="56">
        <v>16</v>
      </c>
      <c r="L14" s="58">
        <v>-6</v>
      </c>
      <c r="M14" s="59">
        <v>3</v>
      </c>
      <c r="O14" s="149" t="str">
        <f t="shared" si="0"/>
        <v>승</v>
      </c>
      <c r="P14" s="150" t="str">
        <f>V6</f>
        <v>이탈리아</v>
      </c>
      <c r="Q14" s="151">
        <v>3</v>
      </c>
      <c r="R14" s="152">
        <v>1</v>
      </c>
      <c r="S14" s="150" t="str">
        <f>V8</f>
        <v>프랑스</v>
      </c>
      <c r="T14" s="151" t="str">
        <f t="shared" si="1"/>
        <v>패</v>
      </c>
      <c r="V14" t="s">
        <v>94</v>
      </c>
      <c r="W14" s="1">
        <f>표2_46[[#This Row],[승]]+표2_46[[#This Row],[무]]+표2_46[[#This Row],[패]]</f>
        <v>6</v>
      </c>
      <c r="X14" s="1">
        <f>COUNTIFS(챔스A_7[팀1 결과],X$10,챔스A_7[팀1],표2_46[[#This Row],[팀]])+COUNTIFS(챔스A_7[팀2 결과],X$10,챔스A_7[팀2],표2_46[[#This Row],[팀]])</f>
        <v>2</v>
      </c>
      <c r="Y14" s="1">
        <f>COUNTIFS(챔스A_7[팀1 결과],Y$10,챔스A_7[팀1],표2_46[[#This Row],[팀]])+COUNTIFS(챔스A_7[팀2 결과],Y$10,챔스A_7[팀2],표2_46[[#This Row],[팀]])</f>
        <v>4</v>
      </c>
      <c r="Z14" s="1">
        <f>COUNTIFS(챔스A_7[팀1 결과],Z$10,챔스A_7[팀1],표2_46[[#This Row],[팀]])+COUNTIFS(챔스A_7[팀2 결과],Z$10,챔스A_7[팀2],표2_46[[#This Row],[팀]])</f>
        <v>0</v>
      </c>
      <c r="AA14" s="1">
        <f>SUMIF(챔스A_7[팀1],표2_46[[#This Row],[팀]],챔스A_7[팀1 S])+SUMIF(챔스A_7[팀2],표2_46[[#This Row],[팀]],챔스A_7[팀2 S])</f>
        <v>13</v>
      </c>
      <c r="AB14" s="1">
        <f>SUMIF(챔스A_7[팀1],표2_46[[#This Row],[팀]],챔스A_7[팀2 S])+SUMIF(챔스A_7[팀2],표2_46[[#This Row],[팀]],챔스A_7[팀1 S])</f>
        <v>8</v>
      </c>
      <c r="AC14" s="1">
        <f>표2_46[[#This Row],[득점]]-표2_46[[#This Row],[실점]]</f>
        <v>5</v>
      </c>
      <c r="AD14" s="1">
        <f>표2_46[[#This Row],[승]]*3+표2_46[[#This Row],[무]]</f>
        <v>10</v>
      </c>
    </row>
    <row r="15" spans="2:30" ht="24.95" customHeight="1" thickBot="1" x14ac:dyDescent="0.35">
      <c r="O15" s="19" t="str">
        <f t="shared" si="0"/>
        <v>무</v>
      </c>
      <c r="P15" s="6" t="str">
        <f>V7</f>
        <v>포르투갈</v>
      </c>
      <c r="Q15" s="20">
        <v>2</v>
      </c>
      <c r="R15" s="12">
        <v>2</v>
      </c>
      <c r="S15" s="6" t="str">
        <f>V8</f>
        <v>프랑스</v>
      </c>
      <c r="T15" s="13" t="str">
        <f t="shared" si="1"/>
        <v>무</v>
      </c>
      <c r="V15" t="s">
        <v>86</v>
      </c>
      <c r="W15" s="1">
        <f>표2_46[[#This Row],[승]]+표2_46[[#This Row],[무]]+표2_46[[#This Row],[패]]</f>
        <v>6</v>
      </c>
      <c r="X15" s="1">
        <f>COUNTIFS(챔스A_7[팀1 결과],X$10,챔스A_7[팀1],표2_46[[#This Row],[팀]])+COUNTIFS(챔스A_7[팀2 결과],X$10,챔스A_7[팀2],표2_46[[#This Row],[팀]])</f>
        <v>2</v>
      </c>
      <c r="Y15" s="1">
        <f>COUNTIFS(챔스A_7[팀1 결과],Y$10,챔스A_7[팀1],표2_46[[#This Row],[팀]])+COUNTIFS(챔스A_7[팀2 결과],Y$10,챔스A_7[팀2],표2_46[[#This Row],[팀]])</f>
        <v>3</v>
      </c>
      <c r="Z15" s="1">
        <f>COUNTIFS(챔스A_7[팀1 결과],Z$10,챔스A_7[팀1],표2_46[[#This Row],[팀]])+COUNTIFS(챔스A_7[팀2 결과],Z$10,챔스A_7[팀2],표2_46[[#This Row],[팀]])</f>
        <v>1</v>
      </c>
      <c r="AA15" s="1">
        <f>SUMIF(챔스A_7[팀1],표2_46[[#This Row],[팀]],챔스A_7[팀1 S])+SUMIF(챔스A_7[팀2],표2_46[[#This Row],[팀]],챔스A_7[팀2 S])</f>
        <v>11</v>
      </c>
      <c r="AB15" s="1">
        <f>SUMIF(챔스A_7[팀1],표2_46[[#This Row],[팀]],챔스A_7[팀2 S])+SUMIF(챔스A_7[팀2],표2_46[[#This Row],[팀]],챔스A_7[팀1 S])</f>
        <v>10</v>
      </c>
      <c r="AC15" s="1">
        <f>표2_46[[#This Row],[득점]]-표2_46[[#This Row],[실점]]</f>
        <v>1</v>
      </c>
      <c r="AD15" s="1">
        <f>표2_46[[#This Row],[승]]*3+표2_46[[#This Row],[무]]</f>
        <v>9</v>
      </c>
    </row>
    <row r="16" spans="2:30" ht="24.95" customHeight="1" thickBot="1" x14ac:dyDescent="0.35">
      <c r="B16" s="198" t="s">
        <v>64</v>
      </c>
      <c r="D16" s="137" t="s">
        <v>31</v>
      </c>
      <c r="E16" s="43" t="s">
        <v>5</v>
      </c>
      <c r="F16" s="44" t="s">
        <v>29</v>
      </c>
      <c r="G16" s="45" t="s">
        <v>4</v>
      </c>
      <c r="H16" s="45" t="s">
        <v>2</v>
      </c>
      <c r="I16" s="45" t="s">
        <v>10</v>
      </c>
      <c r="J16" s="46" t="s">
        <v>22</v>
      </c>
      <c r="K16" s="45" t="s">
        <v>24</v>
      </c>
      <c r="L16" s="47" t="s">
        <v>26</v>
      </c>
      <c r="M16" s="47" t="s">
        <v>32</v>
      </c>
      <c r="O16" s="21" t="str">
        <f t="shared" si="0"/>
        <v>승</v>
      </c>
      <c r="P16" s="7" t="str">
        <f>V7</f>
        <v>포르투갈</v>
      </c>
      <c r="Q16" s="22">
        <v>4</v>
      </c>
      <c r="R16" s="14">
        <v>2</v>
      </c>
      <c r="S16" s="7" t="str">
        <f>V8</f>
        <v>프랑스</v>
      </c>
      <c r="T16" s="15" t="str">
        <f t="shared" si="1"/>
        <v>패</v>
      </c>
    </row>
    <row r="17" spans="2:30" ht="24.95" customHeight="1" thickBot="1" x14ac:dyDescent="0.35">
      <c r="B17" s="199"/>
      <c r="D17" s="138">
        <v>1</v>
      </c>
      <c r="E17" s="51" t="str" cm="1">
        <f t="array" ref="E17:M19">_xlfn._xlws.SORT(_xlfn._xlws.SORT(_xlfn._xlws.SORT(_xlfn._xlws.SORT((_xlfn._xlws.FILTER(표2_4681015[],표2_4681015[경기]&gt;(-1),)),7,1),6,-1),8,-1),9,-1)</f>
        <v>독일</v>
      </c>
      <c r="F17" s="39">
        <v>4</v>
      </c>
      <c r="G17" s="40">
        <v>4</v>
      </c>
      <c r="H17" s="40">
        <v>0</v>
      </c>
      <c r="I17" s="40">
        <v>0</v>
      </c>
      <c r="J17" s="41">
        <v>13</v>
      </c>
      <c r="K17" s="40">
        <v>6</v>
      </c>
      <c r="L17" s="42">
        <v>7</v>
      </c>
      <c r="M17" s="48">
        <v>12</v>
      </c>
      <c r="X17" s="1" t="s">
        <v>4</v>
      </c>
      <c r="Y17" s="1" t="s">
        <v>2</v>
      </c>
      <c r="Z17" s="1" t="s">
        <v>10</v>
      </c>
    </row>
    <row r="18" spans="2:30" ht="24.95" customHeight="1" thickBot="1" x14ac:dyDescent="0.35">
      <c r="B18" s="199"/>
      <c r="D18" s="139">
        <v>2</v>
      </c>
      <c r="E18" s="52" t="str">
        <v>루마니아</v>
      </c>
      <c r="F18" s="32">
        <v>4</v>
      </c>
      <c r="G18" s="33">
        <v>2</v>
      </c>
      <c r="H18" s="33">
        <v>0</v>
      </c>
      <c r="I18" s="33">
        <v>2</v>
      </c>
      <c r="J18" s="34">
        <v>9</v>
      </c>
      <c r="K18" s="33">
        <v>9</v>
      </c>
      <c r="L18" s="35">
        <v>0</v>
      </c>
      <c r="M18" s="49">
        <v>6</v>
      </c>
      <c r="O18" s="204" t="s">
        <v>63</v>
      </c>
      <c r="P18" s="205"/>
      <c r="Q18" s="205"/>
      <c r="R18" s="205"/>
      <c r="S18" s="205"/>
      <c r="T18" s="206"/>
      <c r="V18" s="1" t="s">
        <v>30</v>
      </c>
      <c r="W18" s="1" t="s">
        <v>28</v>
      </c>
      <c r="X18" s="1" t="s">
        <v>3</v>
      </c>
      <c r="Y18" s="1" t="s">
        <v>1</v>
      </c>
      <c r="Z18" s="1" t="s">
        <v>9</v>
      </c>
      <c r="AA18" s="1" t="s">
        <v>21</v>
      </c>
      <c r="AB18" s="1" t="s">
        <v>23</v>
      </c>
      <c r="AC18" s="1" t="s">
        <v>25</v>
      </c>
      <c r="AD18" s="1" t="s">
        <v>27</v>
      </c>
    </row>
    <row r="19" spans="2:30" ht="24.95" customHeight="1" thickBot="1" x14ac:dyDescent="0.35">
      <c r="B19" s="200"/>
      <c r="D19" s="142">
        <v>3</v>
      </c>
      <c r="E19" s="143" t="str">
        <v>오스트리아</v>
      </c>
      <c r="F19" s="144">
        <v>4</v>
      </c>
      <c r="G19" s="36">
        <v>0</v>
      </c>
      <c r="H19" s="36">
        <v>0</v>
      </c>
      <c r="I19" s="36">
        <v>4</v>
      </c>
      <c r="J19" s="37">
        <v>6</v>
      </c>
      <c r="K19" s="36">
        <v>13</v>
      </c>
      <c r="L19" s="38">
        <v>-7</v>
      </c>
      <c r="M19" s="145">
        <v>0</v>
      </c>
      <c r="O19" s="157" t="s">
        <v>15</v>
      </c>
      <c r="P19" s="10" t="s">
        <v>16</v>
      </c>
      <c r="Q19" s="158" t="s">
        <v>17</v>
      </c>
      <c r="R19" s="9" t="s">
        <v>18</v>
      </c>
      <c r="S19" s="10" t="s">
        <v>19</v>
      </c>
      <c r="T19" s="11" t="s">
        <v>20</v>
      </c>
      <c r="V19" t="s">
        <v>78</v>
      </c>
      <c r="W19" s="1">
        <f>표2_4681015[[#This Row],[승]]+표2_4681015[[#This Row],[무]]+표2_4681015[[#This Row],[패]]</f>
        <v>4</v>
      </c>
      <c r="X19" s="1">
        <f>COUNTIFS(챔스A_791118[팀1 결과],X$17,챔스A_791118[팀1],표2_4681015[[#This Row],[팀]])+COUNTIFS(챔스A_791118[팀2 결과],X$17,챔스A_791118[팀2],표2_4681015[[#This Row],[팀]])</f>
        <v>4</v>
      </c>
      <c r="Y19" s="1">
        <f>COUNTIFS(챔스A_791118[팀1 결과],Y$17,챔스A_791118[팀1],표2_4681015[[#This Row],[팀]])+COUNTIFS(챔스A_791118[팀2 결과],Y$17,챔스A_791118[팀2],표2_4681015[[#This Row],[팀]])</f>
        <v>0</v>
      </c>
      <c r="Z19" s="1">
        <f>COUNTIFS(챔스A_791118[팀1 결과],Z$17,챔스A_791118[팀1],표2_4681015[[#This Row],[팀]])+COUNTIFS(챔스A_791118[팀2 결과],Z$17,챔스A_791118[팀2],표2_4681015[[#This Row],[팀]])</f>
        <v>0</v>
      </c>
      <c r="AA19" s="1">
        <f>SUMIF(챔스A_791118[팀1],표2_4681015[[#This Row],[팀]],챔스A_791118[팀1 S])+SUMIF(챔스A_791118[팀2],표2_4681015[[#This Row],[팀]],챔스A_791118[팀2 S])</f>
        <v>13</v>
      </c>
      <c r="AB19" s="1">
        <f>SUMIF(챔스A_791118[팀1],표2_4681015[[#This Row],[팀]],챔스A_791118[팀2 S])+SUMIF(챔스A_791118[팀2],표2_4681015[[#This Row],[팀]],챔스A_791118[팀1 S])</f>
        <v>6</v>
      </c>
      <c r="AC19" s="1">
        <f>표2_4681015[[#This Row],[득점]]-표2_4681015[[#This Row],[실점]]</f>
        <v>7</v>
      </c>
      <c r="AD19" s="1">
        <f>표2_4681015[[#This Row],[승]]*3+표2_4681015[[#This Row],[무]]</f>
        <v>12</v>
      </c>
    </row>
    <row r="20" spans="2:30" ht="24.95" customHeight="1" thickBot="1" x14ac:dyDescent="0.35">
      <c r="O20" s="21" t="str">
        <f>IF(Q20="","",IF(Q20&gt;R20,"승",IF(Q20=R20,"무",IF(Q20&lt;R20,"패",""))))</f>
        <v>패</v>
      </c>
      <c r="P20" s="7" t="str">
        <f>V12</f>
        <v>대한민국</v>
      </c>
      <c r="Q20" s="22">
        <v>1</v>
      </c>
      <c r="R20" s="14">
        <v>2</v>
      </c>
      <c r="S20" s="185" t="str">
        <f>V13</f>
        <v>스페인</v>
      </c>
      <c r="T20" s="15" t="str">
        <f>IF(O20="","",IF(O20="무","무",IF(O20="승","패","승")))</f>
        <v>승</v>
      </c>
      <c r="V20" t="s">
        <v>72</v>
      </c>
      <c r="W20" s="1">
        <f>표2_4681015[[#This Row],[승]]+표2_4681015[[#This Row],[무]]+표2_4681015[[#This Row],[패]]</f>
        <v>4</v>
      </c>
      <c r="X20" s="1">
        <f>COUNTIFS(챔스A_791118[팀1 결과],X$17,챔스A_791118[팀1],표2_4681015[[#This Row],[팀]])+COUNTIFS(챔스A_791118[팀2 결과],X$17,챔스A_791118[팀2],표2_4681015[[#This Row],[팀]])</f>
        <v>2</v>
      </c>
      <c r="Y20" s="1">
        <f>COUNTIFS(챔스A_791118[팀1 결과],Y$17,챔스A_791118[팀1],표2_4681015[[#This Row],[팀]])+COUNTIFS(챔스A_791118[팀2 결과],Y$17,챔스A_791118[팀2],표2_4681015[[#This Row],[팀]])</f>
        <v>0</v>
      </c>
      <c r="Z20" s="1">
        <f>COUNTIFS(챔스A_791118[팀1 결과],Z$17,챔스A_791118[팀1],표2_4681015[[#This Row],[팀]])+COUNTIFS(챔스A_791118[팀2 결과],Z$17,챔스A_791118[팀2],표2_4681015[[#This Row],[팀]])</f>
        <v>2</v>
      </c>
      <c r="AA20" s="1">
        <f>SUMIF(챔스A_791118[팀1],표2_4681015[[#This Row],[팀]],챔스A_791118[팀1 S])+SUMIF(챔스A_791118[팀2],표2_4681015[[#This Row],[팀]],챔스A_791118[팀2 S])</f>
        <v>9</v>
      </c>
      <c r="AB20" s="1">
        <f>SUMIF(챔스A_791118[팀1],표2_4681015[[#This Row],[팀]],챔스A_791118[팀2 S])+SUMIF(챔스A_791118[팀2],표2_4681015[[#This Row],[팀]],챔스A_791118[팀1 S])</f>
        <v>9</v>
      </c>
      <c r="AC20" s="1">
        <f>표2_4681015[[#This Row],[득점]]-표2_4681015[[#This Row],[실점]]</f>
        <v>0</v>
      </c>
      <c r="AD20" s="1">
        <f>표2_4681015[[#This Row],[승]]*3+표2_4681015[[#This Row],[무]]</f>
        <v>6</v>
      </c>
    </row>
    <row r="21" spans="2:30" ht="24.95" customHeight="1" thickBot="1" x14ac:dyDescent="0.35">
      <c r="B21" s="198" t="s">
        <v>65</v>
      </c>
      <c r="D21" s="137" t="s">
        <v>31</v>
      </c>
      <c r="E21" s="43" t="s">
        <v>5</v>
      </c>
      <c r="F21" s="44" t="s">
        <v>29</v>
      </c>
      <c r="G21" s="45" t="s">
        <v>4</v>
      </c>
      <c r="H21" s="45" t="s">
        <v>2</v>
      </c>
      <c r="I21" s="45" t="s">
        <v>10</v>
      </c>
      <c r="J21" s="46" t="s">
        <v>22</v>
      </c>
      <c r="K21" s="45" t="s">
        <v>24</v>
      </c>
      <c r="L21" s="47" t="s">
        <v>26</v>
      </c>
      <c r="M21" s="47" t="s">
        <v>32</v>
      </c>
      <c r="O21" s="24" t="str">
        <f t="shared" ref="O21:O26" si="2">IF(Q21="","",IF(Q21&gt;R21,"승",IF(Q21=R21,"무",IF(Q21&lt;R21,"패",""))))</f>
        <v>패</v>
      </c>
      <c r="P21" s="17" t="str">
        <f>V12</f>
        <v>대한민국</v>
      </c>
      <c r="Q21" s="25">
        <v>3</v>
      </c>
      <c r="R21" s="16">
        <v>5</v>
      </c>
      <c r="S21" s="186" t="str">
        <f>V13</f>
        <v>스페인</v>
      </c>
      <c r="T21" s="18" t="str">
        <f t="shared" ref="T21:T26" si="3">IF(O21="","",IF(O21="무","무",IF(O21="승","패","승")))</f>
        <v>승</v>
      </c>
      <c r="V21" t="s">
        <v>80</v>
      </c>
      <c r="W21" s="1">
        <f>표2_4681015[[#This Row],[승]]+표2_4681015[[#This Row],[무]]+표2_4681015[[#This Row],[패]]</f>
        <v>4</v>
      </c>
      <c r="X21" s="1">
        <f>COUNTIFS(챔스A_791118[팀1 결과],X$17,챔스A_791118[팀1],표2_4681015[[#This Row],[팀]])+COUNTIFS(챔스A_791118[팀2 결과],X$17,챔스A_791118[팀2],표2_4681015[[#This Row],[팀]])</f>
        <v>0</v>
      </c>
      <c r="Y21" s="1">
        <f>COUNTIFS(챔스A_791118[팀1 결과],Y$17,챔스A_791118[팀1],표2_4681015[[#This Row],[팀]])+COUNTIFS(챔스A_791118[팀2 결과],Y$17,챔스A_791118[팀2],표2_4681015[[#This Row],[팀]])</f>
        <v>0</v>
      </c>
      <c r="Z21" s="1">
        <f>COUNTIFS(챔스A_791118[팀1 결과],Z$17,챔스A_791118[팀1],표2_4681015[[#This Row],[팀]])+COUNTIFS(챔스A_791118[팀2 결과],Z$17,챔스A_791118[팀2],표2_4681015[[#This Row],[팀]])</f>
        <v>4</v>
      </c>
      <c r="AA21" s="1">
        <f>SUMIF(챔스A_791118[팀1],표2_4681015[[#This Row],[팀]],챔스A_791118[팀1 S])+SUMIF(챔스A_791118[팀2],표2_4681015[[#This Row],[팀]],챔스A_791118[팀2 S])</f>
        <v>6</v>
      </c>
      <c r="AB21" s="1">
        <f>SUMIF(챔스A_791118[팀1],표2_4681015[[#This Row],[팀]],챔스A_791118[팀2 S])+SUMIF(챔스A_791118[팀2],표2_4681015[[#This Row],[팀]],챔스A_791118[팀1 S])</f>
        <v>13</v>
      </c>
      <c r="AC21" s="1">
        <f>표2_4681015[[#This Row],[득점]]-표2_4681015[[#This Row],[실점]]</f>
        <v>-7</v>
      </c>
      <c r="AD21" s="1">
        <f>표2_4681015[[#This Row],[승]]*3+표2_4681015[[#This Row],[무]]</f>
        <v>0</v>
      </c>
    </row>
    <row r="22" spans="2:30" ht="24.95" customHeight="1" thickBot="1" x14ac:dyDescent="0.35">
      <c r="B22" s="199"/>
      <c r="D22" s="138">
        <v>1</v>
      </c>
      <c r="E22" s="51" t="str" cm="1">
        <f t="array" ref="E22:M24">_xlfn._xlws.SORT(_xlfn._xlws.SORT(_xlfn._xlws.SORT(_xlfn._xlws.SORT((_xlfn._xlws.FILTER(표2_46810[],표2_46810[경기]&gt;(-1),)),7,1),6,-1),8,-1),9,-1)</f>
        <v>코트디부아르</v>
      </c>
      <c r="F22" s="39">
        <v>4</v>
      </c>
      <c r="G22" s="40">
        <v>4</v>
      </c>
      <c r="H22" s="40">
        <v>0</v>
      </c>
      <c r="I22" s="40">
        <v>0</v>
      </c>
      <c r="J22" s="41">
        <v>12</v>
      </c>
      <c r="K22" s="40">
        <v>3</v>
      </c>
      <c r="L22" s="42">
        <v>9</v>
      </c>
      <c r="M22" s="48">
        <v>12</v>
      </c>
      <c r="O22" s="153" t="str">
        <f t="shared" si="2"/>
        <v>패</v>
      </c>
      <c r="P22" s="121" t="str">
        <f>V12</f>
        <v>대한민국</v>
      </c>
      <c r="Q22" s="154">
        <v>0</v>
      </c>
      <c r="R22" s="155">
        <v>4</v>
      </c>
      <c r="S22" s="121" t="str">
        <f>V14</f>
        <v>아르헨티나</v>
      </c>
      <c r="T22" s="154" t="str">
        <f t="shared" si="3"/>
        <v>승</v>
      </c>
      <c r="X22" s="1" t="s">
        <v>4</v>
      </c>
      <c r="Y22" s="1" t="s">
        <v>2</v>
      </c>
      <c r="Z22" s="1" t="s">
        <v>10</v>
      </c>
    </row>
    <row r="23" spans="2:30" ht="24.95" customHeight="1" thickBot="1" x14ac:dyDescent="0.35">
      <c r="B23" s="199"/>
      <c r="D23" s="139">
        <v>2</v>
      </c>
      <c r="E23" s="52" t="str">
        <v>미국</v>
      </c>
      <c r="F23" s="32">
        <v>4</v>
      </c>
      <c r="G23" s="33">
        <v>2</v>
      </c>
      <c r="H23" s="33">
        <v>0</v>
      </c>
      <c r="I23" s="33">
        <v>2</v>
      </c>
      <c r="J23" s="34">
        <v>12</v>
      </c>
      <c r="K23" s="33">
        <v>8</v>
      </c>
      <c r="L23" s="35">
        <v>4</v>
      </c>
      <c r="M23" s="49">
        <v>6</v>
      </c>
      <c r="O23" s="24" t="str">
        <f t="shared" si="2"/>
        <v>패</v>
      </c>
      <c r="P23" s="17" t="str">
        <f>V12</f>
        <v>대한민국</v>
      </c>
      <c r="Q23" s="25">
        <v>2</v>
      </c>
      <c r="R23" s="16">
        <v>3</v>
      </c>
      <c r="S23" s="17" t="str">
        <f>V14</f>
        <v>아르헨티나</v>
      </c>
      <c r="T23" s="25" t="str">
        <f t="shared" si="3"/>
        <v>승</v>
      </c>
      <c r="V23" s="1" t="s">
        <v>30</v>
      </c>
      <c r="W23" s="1" t="s">
        <v>28</v>
      </c>
      <c r="X23" s="1" t="s">
        <v>3</v>
      </c>
      <c r="Y23" s="1" t="s">
        <v>1</v>
      </c>
      <c r="Z23" s="1" t="s">
        <v>9</v>
      </c>
      <c r="AA23" s="1" t="s">
        <v>21</v>
      </c>
      <c r="AB23" s="1" t="s">
        <v>23</v>
      </c>
      <c r="AC23" s="1" t="s">
        <v>25</v>
      </c>
      <c r="AD23" s="1" t="s">
        <v>27</v>
      </c>
    </row>
    <row r="24" spans="2:30" ht="24.95" customHeight="1" thickBot="1" x14ac:dyDescent="0.35">
      <c r="B24" s="200"/>
      <c r="D24" s="142">
        <v>3</v>
      </c>
      <c r="E24" s="143" t="str">
        <v>크로아티아</v>
      </c>
      <c r="F24" s="144">
        <v>4</v>
      </c>
      <c r="G24" s="36">
        <v>0</v>
      </c>
      <c r="H24" s="36">
        <v>0</v>
      </c>
      <c r="I24" s="36">
        <v>4</v>
      </c>
      <c r="J24" s="37">
        <v>3</v>
      </c>
      <c r="K24" s="36">
        <v>16</v>
      </c>
      <c r="L24" s="38">
        <v>-13</v>
      </c>
      <c r="M24" s="145">
        <v>0</v>
      </c>
      <c r="O24" s="153" t="str">
        <f t="shared" si="2"/>
        <v>패</v>
      </c>
      <c r="P24" s="121" t="str">
        <f>V12</f>
        <v>대한민국</v>
      </c>
      <c r="Q24" s="154">
        <v>0</v>
      </c>
      <c r="R24" s="155">
        <v>2</v>
      </c>
      <c r="S24" s="121" t="str">
        <f>V15</f>
        <v>잉글랜드</v>
      </c>
      <c r="T24" s="156" t="str">
        <f t="shared" si="3"/>
        <v>승</v>
      </c>
      <c r="V24" t="s">
        <v>96</v>
      </c>
      <c r="W24" s="1">
        <f>표2_46810[[#This Row],[승]]+표2_46810[[#This Row],[무]]+표2_46810[[#This Row],[패]]</f>
        <v>4</v>
      </c>
      <c r="X24" s="1">
        <f>COUNTIFS(챔스A_7911[팀1 결과],X$22,챔스A_7911[팀1],표2_46810[[#This Row],[팀]])+COUNTIFS(챔스A_7911[팀2 결과],X$22,챔스A_7911[팀2],표2_46810[[#This Row],[팀]])</f>
        <v>2</v>
      </c>
      <c r="Y24" s="1">
        <f>COUNTIFS(챔스A_7911[팀1 결과],Y$22,챔스A_7911[팀1],표2_46810[[#This Row],[팀]])+COUNTIFS(챔스A_7911[팀2 결과],Y$22,챔스A_7911[팀2],표2_46810[[#This Row],[팀]])</f>
        <v>0</v>
      </c>
      <c r="Z24" s="1">
        <f>COUNTIFS(챔스A_7911[팀1 결과],Z$22,챔스A_7911[팀1],표2_46810[[#This Row],[팀]])+COUNTIFS(챔스A_7911[팀2 결과],Z$22,챔스A_7911[팀2],표2_46810[[#This Row],[팀]])</f>
        <v>2</v>
      </c>
      <c r="AA24" s="1">
        <f>SUMIF(챔스A_7911[팀1],표2_46810[[#This Row],[팀]],챔스A_7911[팀1 S])+SUMIF(챔스A_7911[팀2],표2_46810[[#This Row],[팀]],챔스A_7911[팀2 S])</f>
        <v>12</v>
      </c>
      <c r="AB24" s="1">
        <f>SUMIF(챔스A_7911[팀1],표2_46810[[#This Row],[팀]],챔스A_7911[팀2 S])+SUMIF(챔스A_7911[팀2],표2_46810[[#This Row],[팀]],챔스A_7911[팀1 S])</f>
        <v>8</v>
      </c>
      <c r="AC24" s="1">
        <f>표2_46810[[#This Row],[득점]]-표2_46810[[#This Row],[실점]]</f>
        <v>4</v>
      </c>
      <c r="AD24" s="1">
        <f>표2_46810[[#This Row],[승]]*3+표2_46810[[#This Row],[무]]</f>
        <v>6</v>
      </c>
    </row>
    <row r="25" spans="2:30" ht="24.95" customHeight="1" x14ac:dyDescent="0.3">
      <c r="O25" s="24" t="str">
        <f t="shared" si="2"/>
        <v>승</v>
      </c>
      <c r="P25" s="17" t="str">
        <f>V12</f>
        <v>대한민국</v>
      </c>
      <c r="Q25" s="25">
        <v>4</v>
      </c>
      <c r="R25" s="16">
        <v>0</v>
      </c>
      <c r="S25" s="17" t="str">
        <f>V15</f>
        <v>잉글랜드</v>
      </c>
      <c r="T25" s="18" t="str">
        <f t="shared" si="3"/>
        <v>패</v>
      </c>
      <c r="V25" t="s">
        <v>98</v>
      </c>
      <c r="W25" s="1">
        <f>표2_46810[[#This Row],[승]]+표2_46810[[#This Row],[무]]+표2_46810[[#This Row],[패]]</f>
        <v>4</v>
      </c>
      <c r="X25" s="1">
        <f>COUNTIFS(챔스A_7911[팀1 결과],X$22,챔스A_7911[팀1],표2_46810[[#This Row],[팀]])+COUNTIFS(챔스A_7911[팀2 결과],X$22,챔스A_7911[팀2],표2_46810[[#This Row],[팀]])</f>
        <v>4</v>
      </c>
      <c r="Y25" s="1">
        <f>COUNTIFS(챔스A_7911[팀1 결과],Y$22,챔스A_7911[팀1],표2_46810[[#This Row],[팀]])+COUNTIFS(챔스A_7911[팀2 결과],Y$22,챔스A_7911[팀2],표2_46810[[#This Row],[팀]])</f>
        <v>0</v>
      </c>
      <c r="Z25" s="1">
        <f>COUNTIFS(챔스A_7911[팀1 결과],Z$22,챔스A_7911[팀1],표2_46810[[#This Row],[팀]])+COUNTIFS(챔스A_7911[팀2 결과],Z$22,챔스A_7911[팀2],표2_46810[[#This Row],[팀]])</f>
        <v>0</v>
      </c>
      <c r="AA25" s="1">
        <f>SUMIF(챔스A_7911[팀1],표2_46810[[#This Row],[팀]],챔스A_7911[팀1 S])+SUMIF(챔스A_7911[팀2],표2_46810[[#This Row],[팀]],챔스A_7911[팀2 S])</f>
        <v>12</v>
      </c>
      <c r="AB25" s="1">
        <f>SUMIF(챔스A_7911[팀1],표2_46810[[#This Row],[팀]],챔스A_7911[팀2 S])+SUMIF(챔스A_7911[팀2],표2_46810[[#This Row],[팀]],챔스A_7911[팀1 S])</f>
        <v>3</v>
      </c>
      <c r="AC25" s="1">
        <f>표2_46810[[#This Row],[득점]]-표2_46810[[#This Row],[실점]]</f>
        <v>9</v>
      </c>
      <c r="AD25" s="1">
        <f>표2_46810[[#This Row],[승]]*3+표2_46810[[#This Row],[무]]</f>
        <v>12</v>
      </c>
    </row>
    <row r="26" spans="2:30" ht="24.95" customHeight="1" x14ac:dyDescent="0.3">
      <c r="O26" s="153" t="str">
        <f t="shared" si="2"/>
        <v>무</v>
      </c>
      <c r="P26" s="187" t="str">
        <f>V13</f>
        <v>스페인</v>
      </c>
      <c r="Q26" s="154">
        <v>1</v>
      </c>
      <c r="R26" s="155">
        <v>1</v>
      </c>
      <c r="S26" s="121" t="str">
        <f>V14</f>
        <v>아르헨티나</v>
      </c>
      <c r="T26" s="154" t="str">
        <f t="shared" si="3"/>
        <v>무</v>
      </c>
      <c r="V26" t="s">
        <v>88</v>
      </c>
      <c r="W26" s="1">
        <f>표2_46810[[#This Row],[승]]+표2_46810[[#This Row],[무]]+표2_46810[[#This Row],[패]]</f>
        <v>4</v>
      </c>
      <c r="X26" s="1">
        <f>COUNTIFS(챔스A_7911[팀1 결과],X$22,챔스A_7911[팀1],표2_46810[[#This Row],[팀]])+COUNTIFS(챔스A_7911[팀2 결과],X$22,챔스A_7911[팀2],표2_46810[[#This Row],[팀]])</f>
        <v>0</v>
      </c>
      <c r="Y26" s="1">
        <f>COUNTIFS(챔스A_7911[팀1 결과],Y$22,챔스A_7911[팀1],표2_46810[[#This Row],[팀]])+COUNTIFS(챔스A_7911[팀2 결과],Y$22,챔스A_7911[팀2],표2_46810[[#This Row],[팀]])</f>
        <v>0</v>
      </c>
      <c r="Z26" s="1">
        <f>COUNTIFS(챔스A_7911[팀1 결과],Z$22,챔스A_7911[팀1],표2_46810[[#This Row],[팀]])+COUNTIFS(챔스A_7911[팀2 결과],Z$22,챔스A_7911[팀2],표2_46810[[#This Row],[팀]])</f>
        <v>4</v>
      </c>
      <c r="AA26" s="1">
        <f>SUMIF(챔스A_7911[팀1],표2_46810[[#This Row],[팀]],챔스A_7911[팀1 S])+SUMIF(챔스A_7911[팀2],표2_46810[[#This Row],[팀]],챔스A_7911[팀2 S])</f>
        <v>3</v>
      </c>
      <c r="AB26" s="1">
        <f>SUMIF(챔스A_7911[팀1],표2_46810[[#This Row],[팀]],챔스A_7911[팀2 S])+SUMIF(챔스A_7911[팀2],표2_46810[[#This Row],[팀]],챔스A_7911[팀1 S])</f>
        <v>16</v>
      </c>
      <c r="AC26" s="1">
        <f>표2_46810[[#This Row],[득점]]-표2_46810[[#This Row],[실점]]</f>
        <v>-13</v>
      </c>
      <c r="AD26" s="1">
        <f>표2_46810[[#This Row],[승]]*3+표2_46810[[#This Row],[무]]</f>
        <v>0</v>
      </c>
    </row>
    <row r="27" spans="2:30" ht="24.95" customHeight="1" x14ac:dyDescent="0.3">
      <c r="O27" s="149" t="str">
        <f>IF(Q27="","",IF(Q27&gt;R27,"승",IF(Q27=R27,"무",IF(Q27&lt;R27,"패",""))))</f>
        <v>무</v>
      </c>
      <c r="P27" s="188" t="str">
        <f>V13</f>
        <v>스페인</v>
      </c>
      <c r="Q27" s="151">
        <v>2</v>
      </c>
      <c r="R27" s="152">
        <v>2</v>
      </c>
      <c r="S27" s="150" t="str">
        <f>V14</f>
        <v>아르헨티나</v>
      </c>
      <c r="T27" s="151" t="str">
        <f>IF(O27="","",IF(O27="무","무",IF(O27="승","패","승")))</f>
        <v>무</v>
      </c>
    </row>
    <row r="28" spans="2:30" ht="24.95" customHeight="1" x14ac:dyDescent="0.3">
      <c r="O28" s="19" t="str">
        <f>IF(Q28="","",IF(Q28&gt;R28,"승",IF(Q28=R28,"무",IF(Q28&lt;R28,"패",""))))</f>
        <v>무</v>
      </c>
      <c r="P28" s="189" t="str">
        <f>V13</f>
        <v>스페인</v>
      </c>
      <c r="Q28" s="20">
        <v>2</v>
      </c>
      <c r="R28" s="12">
        <v>2</v>
      </c>
      <c r="S28" s="6" t="str">
        <f>V15</f>
        <v>잉글랜드</v>
      </c>
      <c r="T28" s="20" t="str">
        <f>IF(O28="","",IF(O28="무","무",IF(O28="승","패","승")))</f>
        <v>무</v>
      </c>
    </row>
    <row r="29" spans="2:30" ht="24.95" customHeight="1" x14ac:dyDescent="0.3">
      <c r="O29" s="149" t="str">
        <f>IF(Q29="","",IF(Q29&gt;R29,"승",IF(Q29=R29,"무",IF(Q29&lt;R29,"패",""))))</f>
        <v>패</v>
      </c>
      <c r="P29" s="188" t="str">
        <f>V13</f>
        <v>스페인</v>
      </c>
      <c r="Q29" s="151">
        <v>1</v>
      </c>
      <c r="R29" s="152">
        <v>4</v>
      </c>
      <c r="S29" s="150" t="str">
        <f>V15</f>
        <v>잉글랜드</v>
      </c>
      <c r="T29" s="151" t="str">
        <f>IF(O29="","",IF(O29="무","무",IF(O29="승","패","승")))</f>
        <v>승</v>
      </c>
    </row>
    <row r="30" spans="2:30" ht="24.95" customHeight="1" x14ac:dyDescent="0.3">
      <c r="O30" s="19" t="str">
        <f>IF(Q30="","",IF(Q30&gt;R30,"승",IF(Q30=R30,"무",IF(Q30&lt;R30,"패",""))))</f>
        <v>무</v>
      </c>
      <c r="P30" s="6" t="str">
        <f>V14</f>
        <v>아르헨티나</v>
      </c>
      <c r="Q30" s="20">
        <v>1</v>
      </c>
      <c r="R30" s="12">
        <v>1</v>
      </c>
      <c r="S30" s="6" t="str">
        <f>V15</f>
        <v>잉글랜드</v>
      </c>
      <c r="T30" s="13" t="str">
        <f>IF(O30="","",IF(O30="무","무",IF(O30="승","패","승")))</f>
        <v>무</v>
      </c>
    </row>
    <row r="31" spans="2:30" ht="24.95" customHeight="1" x14ac:dyDescent="0.3">
      <c r="O31" s="21" t="str">
        <f>IF(Q31="","",IF(Q31&gt;R31,"승",IF(Q31=R31,"무",IF(Q31&lt;R31,"패",""))))</f>
        <v>무</v>
      </c>
      <c r="P31" s="7" t="str">
        <f>V14</f>
        <v>아르헨티나</v>
      </c>
      <c r="Q31" s="22">
        <v>2</v>
      </c>
      <c r="R31" s="14">
        <v>2</v>
      </c>
      <c r="S31" s="7" t="str">
        <f>V15</f>
        <v>잉글랜드</v>
      </c>
      <c r="T31" s="15" t="str">
        <f>IF(O31="","",IF(O31="무","무",IF(O31="승","패","승")))</f>
        <v>무</v>
      </c>
    </row>
    <row r="32" spans="2:30" ht="24.95" customHeight="1" thickBot="1" x14ac:dyDescent="0.35"/>
    <row r="33" spans="15:20" ht="24.95" customHeight="1" thickBot="1" x14ac:dyDescent="0.35">
      <c r="O33" s="204" t="s">
        <v>64</v>
      </c>
      <c r="P33" s="205"/>
      <c r="Q33" s="205"/>
      <c r="R33" s="205"/>
      <c r="S33" s="205"/>
      <c r="T33" s="206"/>
    </row>
    <row r="34" spans="15:20" ht="24.95" customHeight="1" x14ac:dyDescent="0.3">
      <c r="O34" s="157" t="s">
        <v>15</v>
      </c>
      <c r="P34" s="10" t="s">
        <v>16</v>
      </c>
      <c r="Q34" s="158" t="s">
        <v>17</v>
      </c>
      <c r="R34" s="9" t="s">
        <v>18</v>
      </c>
      <c r="S34" s="10" t="s">
        <v>19</v>
      </c>
      <c r="T34" s="11" t="s">
        <v>20</v>
      </c>
    </row>
    <row r="35" spans="15:20" ht="24.95" customHeight="1" x14ac:dyDescent="0.3">
      <c r="O35" s="21" t="str">
        <f t="shared" ref="O35:O40" si="4">IF(Q35="","",IF(Q35&gt;R35,"승",IF(Q35=R35,"무",IF(Q35&lt;R35,"패",""))))</f>
        <v>승</v>
      </c>
      <c r="P35" s="7" t="str">
        <f>V19</f>
        <v>독일</v>
      </c>
      <c r="Q35" s="22">
        <v>3</v>
      </c>
      <c r="R35" s="14">
        <v>1</v>
      </c>
      <c r="S35" s="7" t="str">
        <f>V20</f>
        <v>루마니아</v>
      </c>
      <c r="T35" s="15" t="str">
        <f t="shared" ref="T35:T40" si="5">IF(O35="","",IF(O35="무","무",IF(O35="승","패","승")))</f>
        <v>패</v>
      </c>
    </row>
    <row r="36" spans="15:20" ht="24.95" customHeight="1" x14ac:dyDescent="0.3">
      <c r="O36" s="24" t="str">
        <f t="shared" si="4"/>
        <v>승</v>
      </c>
      <c r="P36" s="17" t="str">
        <f>V19</f>
        <v>독일</v>
      </c>
      <c r="Q36" s="25">
        <v>3</v>
      </c>
      <c r="R36" s="16">
        <v>2</v>
      </c>
      <c r="S36" s="17" t="str">
        <f>V20</f>
        <v>루마니아</v>
      </c>
      <c r="T36" s="18" t="str">
        <f t="shared" si="5"/>
        <v>패</v>
      </c>
    </row>
    <row r="37" spans="15:20" ht="24.95" customHeight="1" x14ac:dyDescent="0.3">
      <c r="O37" s="153" t="str">
        <f t="shared" si="4"/>
        <v>승</v>
      </c>
      <c r="P37" s="121" t="str">
        <f>V19</f>
        <v>독일</v>
      </c>
      <c r="Q37" s="154">
        <v>3</v>
      </c>
      <c r="R37" s="155">
        <v>0</v>
      </c>
      <c r="S37" s="121" t="str">
        <f>V21</f>
        <v>오스트리아</v>
      </c>
      <c r="T37" s="154" t="str">
        <f t="shared" si="5"/>
        <v>패</v>
      </c>
    </row>
    <row r="38" spans="15:20" ht="24.95" customHeight="1" x14ac:dyDescent="0.3">
      <c r="O38" s="149" t="str">
        <f t="shared" si="4"/>
        <v>승</v>
      </c>
      <c r="P38" s="150" t="str">
        <f>V19</f>
        <v>독일</v>
      </c>
      <c r="Q38" s="151">
        <v>4</v>
      </c>
      <c r="R38" s="152">
        <v>3</v>
      </c>
      <c r="S38" s="150" t="str">
        <f>V21</f>
        <v>오스트리아</v>
      </c>
      <c r="T38" s="151" t="str">
        <f t="shared" si="5"/>
        <v>패</v>
      </c>
    </row>
    <row r="39" spans="15:20" ht="24.95" customHeight="1" x14ac:dyDescent="0.3">
      <c r="O39" s="19" t="str">
        <f t="shared" si="4"/>
        <v>승</v>
      </c>
      <c r="P39" s="6" t="str">
        <f>V20</f>
        <v>루마니아</v>
      </c>
      <c r="Q39" s="20">
        <v>3</v>
      </c>
      <c r="R39" s="12">
        <v>1</v>
      </c>
      <c r="S39" s="6" t="str">
        <f>V21</f>
        <v>오스트리아</v>
      </c>
      <c r="T39" s="13" t="str">
        <f t="shared" si="5"/>
        <v>패</v>
      </c>
    </row>
    <row r="40" spans="15:20" ht="24.95" customHeight="1" x14ac:dyDescent="0.3">
      <c r="O40" s="21" t="str">
        <f t="shared" si="4"/>
        <v>승</v>
      </c>
      <c r="P40" s="7" t="str">
        <f>V20</f>
        <v>루마니아</v>
      </c>
      <c r="Q40" s="22">
        <v>3</v>
      </c>
      <c r="R40" s="14">
        <v>2</v>
      </c>
      <c r="S40" s="7" t="str">
        <f>V21</f>
        <v>오스트리아</v>
      </c>
      <c r="T40" s="15" t="str">
        <f t="shared" si="5"/>
        <v>패</v>
      </c>
    </row>
    <row r="41" spans="15:20" ht="24.95" customHeight="1" thickBot="1" x14ac:dyDescent="0.35"/>
    <row r="42" spans="15:20" ht="24.95" customHeight="1" thickBot="1" x14ac:dyDescent="0.35">
      <c r="O42" s="204" t="s">
        <v>65</v>
      </c>
      <c r="P42" s="205"/>
      <c r="Q42" s="205"/>
      <c r="R42" s="205"/>
      <c r="S42" s="205"/>
      <c r="T42" s="206"/>
    </row>
    <row r="43" spans="15:20" ht="24.95" customHeight="1" x14ac:dyDescent="0.3">
      <c r="O43" s="157" t="s">
        <v>15</v>
      </c>
      <c r="P43" s="10" t="s">
        <v>16</v>
      </c>
      <c r="Q43" s="158" t="s">
        <v>17</v>
      </c>
      <c r="R43" s="9" t="s">
        <v>18</v>
      </c>
      <c r="S43" s="10" t="s">
        <v>19</v>
      </c>
      <c r="T43" s="11" t="s">
        <v>20</v>
      </c>
    </row>
    <row r="44" spans="15:20" ht="24.95" customHeight="1" x14ac:dyDescent="0.3">
      <c r="O44" s="21" t="str">
        <f>IF(Q44="","",IF(Q44&gt;R44,"승",IF(Q44=R44,"무",IF(Q44&lt;R44,"패",""))))</f>
        <v>패</v>
      </c>
      <c r="P44" s="7" t="str">
        <f>V24</f>
        <v>미국</v>
      </c>
      <c r="Q44" s="22">
        <v>1</v>
      </c>
      <c r="R44" s="14">
        <v>3</v>
      </c>
      <c r="S44" s="7" t="str">
        <f>V25</f>
        <v>코트디부아르</v>
      </c>
      <c r="T44" s="15" t="str">
        <f>IF(O44="","",IF(O44="무","무",IF(O44="승","패","승")))</f>
        <v>승</v>
      </c>
    </row>
    <row r="45" spans="15:20" ht="24.95" customHeight="1" x14ac:dyDescent="0.3">
      <c r="O45" s="24" t="str">
        <f t="shared" ref="O45:O48" si="6">IF(Q45="","",IF(Q45&gt;R45,"승",IF(Q45=R45,"무",IF(Q45&lt;R45,"패",""))))</f>
        <v>패</v>
      </c>
      <c r="P45" s="17" t="str">
        <f>V24</f>
        <v>미국</v>
      </c>
      <c r="Q45" s="25">
        <v>1</v>
      </c>
      <c r="R45" s="16">
        <v>3</v>
      </c>
      <c r="S45" s="17" t="str">
        <f>V25</f>
        <v>코트디부아르</v>
      </c>
      <c r="T45" s="18" t="str">
        <f t="shared" ref="T45:T48" si="7">IF(O45="","",IF(O45="무","무",IF(O45="승","패","승")))</f>
        <v>승</v>
      </c>
    </row>
    <row r="46" spans="15:20" ht="24.95" customHeight="1" x14ac:dyDescent="0.3">
      <c r="O46" s="153" t="str">
        <f t="shared" si="6"/>
        <v>승</v>
      </c>
      <c r="P46" s="121" t="str">
        <f>V24</f>
        <v>미국</v>
      </c>
      <c r="Q46" s="154">
        <v>5</v>
      </c>
      <c r="R46" s="155">
        <v>1</v>
      </c>
      <c r="S46" s="121" t="str">
        <f>V26</f>
        <v>크로아티아</v>
      </c>
      <c r="T46" s="154" t="str">
        <f t="shared" si="7"/>
        <v>패</v>
      </c>
    </row>
    <row r="47" spans="15:20" ht="24.95" customHeight="1" x14ac:dyDescent="0.3">
      <c r="O47" s="149" t="str">
        <f t="shared" si="6"/>
        <v>승</v>
      </c>
      <c r="P47" s="150" t="str">
        <f>V24</f>
        <v>미국</v>
      </c>
      <c r="Q47" s="151">
        <v>5</v>
      </c>
      <c r="R47" s="152">
        <v>1</v>
      </c>
      <c r="S47" s="150" t="str">
        <f>V26</f>
        <v>크로아티아</v>
      </c>
      <c r="T47" s="151" t="str">
        <f t="shared" si="7"/>
        <v>패</v>
      </c>
    </row>
    <row r="48" spans="15:20" ht="24.95" customHeight="1" x14ac:dyDescent="0.3">
      <c r="O48" s="19" t="str">
        <f t="shared" si="6"/>
        <v>승</v>
      </c>
      <c r="P48" s="6" t="str">
        <f>V25</f>
        <v>코트디부아르</v>
      </c>
      <c r="Q48" s="20">
        <v>4</v>
      </c>
      <c r="R48" s="12">
        <v>0</v>
      </c>
      <c r="S48" s="6" t="str">
        <f>V26</f>
        <v>크로아티아</v>
      </c>
      <c r="T48" s="13" t="str">
        <f t="shared" si="7"/>
        <v>패</v>
      </c>
    </row>
    <row r="49" spans="15:20" ht="24.95" customHeight="1" x14ac:dyDescent="0.3">
      <c r="O49" s="21" t="str">
        <f>IF(Q49="","",IF(Q49&gt;R49,"승",IF(Q49=R49,"무",IF(Q49&lt;R49,"패",""))))</f>
        <v>승</v>
      </c>
      <c r="P49" s="7" t="str">
        <f>V25</f>
        <v>코트디부아르</v>
      </c>
      <c r="Q49" s="22">
        <v>2</v>
      </c>
      <c r="R49" s="14">
        <v>1</v>
      </c>
      <c r="S49" s="7" t="str">
        <f>V26</f>
        <v>크로아티아</v>
      </c>
      <c r="T49" s="15" t="str">
        <f>IF(O49="","",IF(O49="무","무",IF(O49="승","패","승")))</f>
        <v>패</v>
      </c>
    </row>
  </sheetData>
  <mergeCells count="9">
    <mergeCell ref="B21:B24"/>
    <mergeCell ref="D2:M2"/>
    <mergeCell ref="B4:B8"/>
    <mergeCell ref="O42:T42"/>
    <mergeCell ref="O18:T18"/>
    <mergeCell ref="O3:T3"/>
    <mergeCell ref="O33:T33"/>
    <mergeCell ref="B10:B14"/>
    <mergeCell ref="B16:B19"/>
  </mergeCells>
  <phoneticPr fontId="8" type="noConversion"/>
  <pageMargins left="0.7" right="0.7" top="0.75" bottom="0.75" header="0.3" footer="0.3"/>
  <pageSetup paperSize="9"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7A294-5B70-4409-8EA4-1742F0A17AA6}">
  <sheetPr>
    <tabColor rgb="FFFFFF00"/>
  </sheetPr>
  <dimension ref="B1:AE27"/>
  <sheetViews>
    <sheetView showGridLines="0" tabSelected="1" zoomScale="145" zoomScaleNormal="145" workbookViewId="0">
      <selection activeCell="E17" sqref="E17:L17"/>
    </sheetView>
  </sheetViews>
  <sheetFormatPr defaultRowHeight="24.95" customHeight="1" x14ac:dyDescent="0.3"/>
  <cols>
    <col min="1" max="1" width="3.625" customWidth="1"/>
    <col min="2" max="2" width="6.625" customWidth="1"/>
    <col min="3" max="3" width="1.625" customWidth="1"/>
    <col min="5" max="5" width="19.5" customWidth="1"/>
    <col min="6" max="9" width="5.875" customWidth="1"/>
    <col min="10" max="12" width="5.125" customWidth="1"/>
    <col min="13" max="13" width="9.875" customWidth="1"/>
    <col min="14" max="14" width="4.625" customWidth="1"/>
    <col min="15" max="15" width="17.625" bestFit="1" customWidth="1"/>
    <col min="16" max="16" width="16" bestFit="1" customWidth="1"/>
    <col min="17" max="18" width="15.125" bestFit="1" customWidth="1"/>
    <col min="19" max="19" width="16" bestFit="1" customWidth="1"/>
    <col min="20" max="20" width="17.625" bestFit="1" customWidth="1"/>
    <col min="21" max="21" width="1.625" customWidth="1"/>
    <col min="22" max="22" width="16" hidden="1" customWidth="1"/>
    <col min="23" max="23" width="14" hidden="1" customWidth="1"/>
    <col min="24" max="26" width="12.125" hidden="1" customWidth="1"/>
    <col min="27" max="29" width="14" hidden="1" customWidth="1"/>
    <col min="30" max="30" width="17.625" hidden="1" customWidth="1"/>
    <col min="31" max="31" width="9" hidden="1" customWidth="1"/>
    <col min="32" max="38" width="9" customWidth="1"/>
  </cols>
  <sheetData>
    <row r="1" spans="2:30" ht="24.95" customHeight="1" thickBot="1" x14ac:dyDescent="0.35"/>
    <row r="2" spans="2:30" ht="24.95" customHeight="1" thickBot="1" x14ac:dyDescent="0.35">
      <c r="D2" s="201" t="s">
        <v>66</v>
      </c>
      <c r="E2" s="202"/>
      <c r="F2" s="202"/>
      <c r="G2" s="202"/>
      <c r="H2" s="202"/>
      <c r="I2" s="202"/>
      <c r="J2" s="202"/>
      <c r="K2" s="202"/>
      <c r="L2" s="202"/>
      <c r="M2" s="203"/>
      <c r="O2" s="204" t="s">
        <v>62</v>
      </c>
      <c r="P2" s="205"/>
      <c r="Q2" s="205"/>
      <c r="R2" s="205"/>
      <c r="S2" s="205"/>
      <c r="T2" s="206"/>
      <c r="X2" s="1" t="s">
        <v>4</v>
      </c>
      <c r="Y2" s="1" t="s">
        <v>2</v>
      </c>
      <c r="Z2" s="1" t="s">
        <v>10</v>
      </c>
    </row>
    <row r="3" spans="2:30" ht="24.95" customHeight="1" thickBot="1" x14ac:dyDescent="0.35">
      <c r="O3" s="157" t="s">
        <v>15</v>
      </c>
      <c r="P3" s="10" t="s">
        <v>16</v>
      </c>
      <c r="Q3" s="158" t="s">
        <v>17</v>
      </c>
      <c r="R3" s="9" t="s">
        <v>18</v>
      </c>
      <c r="S3" s="10" t="s">
        <v>19</v>
      </c>
      <c r="T3" s="11" t="s">
        <v>20</v>
      </c>
      <c r="V3" s="1" t="s">
        <v>30</v>
      </c>
      <c r="W3" s="1" t="s">
        <v>28</v>
      </c>
      <c r="X3" s="1" t="s">
        <v>3</v>
      </c>
      <c r="Y3" s="1" t="s">
        <v>1</v>
      </c>
      <c r="Z3" s="1" t="s">
        <v>9</v>
      </c>
      <c r="AA3" s="1" t="s">
        <v>21</v>
      </c>
      <c r="AB3" s="1" t="s">
        <v>23</v>
      </c>
      <c r="AC3" s="1" t="s">
        <v>25</v>
      </c>
      <c r="AD3" s="1" t="s">
        <v>27</v>
      </c>
    </row>
    <row r="4" spans="2:30" ht="24.95" customHeight="1" thickBot="1" x14ac:dyDescent="0.35">
      <c r="B4" s="198" t="s">
        <v>62</v>
      </c>
      <c r="D4" s="137" t="s">
        <v>31</v>
      </c>
      <c r="E4" s="43" t="s">
        <v>5</v>
      </c>
      <c r="F4" s="44" t="s">
        <v>29</v>
      </c>
      <c r="G4" s="45" t="s">
        <v>4</v>
      </c>
      <c r="H4" s="45" t="s">
        <v>2</v>
      </c>
      <c r="I4" s="45" t="s">
        <v>10</v>
      </c>
      <c r="J4" s="46" t="s">
        <v>22</v>
      </c>
      <c r="K4" s="45" t="s">
        <v>24</v>
      </c>
      <c r="L4" s="47" t="s">
        <v>26</v>
      </c>
      <c r="M4" s="47" t="s">
        <v>32</v>
      </c>
      <c r="O4" s="21" t="str">
        <f t="shared" ref="O4:O9" si="0">IF(Q4="","",IF(Q4&gt;R4,"승",IF(Q4=R4,"무",IF(Q4&lt;R4,"패",""))))</f>
        <v/>
      </c>
      <c r="P4" s="7" t="str">
        <f>V4</f>
        <v>루마니아</v>
      </c>
      <c r="Q4" s="22"/>
      <c r="R4" s="14"/>
      <c r="S4" s="7" t="str">
        <f>V5</f>
        <v>이탈리아</v>
      </c>
      <c r="T4" s="15" t="str">
        <f t="shared" ref="T4:T9" si="1">IF(O4="","",IF(O4="무","무",IF(O4="승","패","승")))</f>
        <v/>
      </c>
      <c r="V4" t="s">
        <v>72</v>
      </c>
      <c r="W4" s="1">
        <f>표2_42[[#This Row],[승]]+표2_42[[#This Row],[무]]+표2_42[[#This Row],[패]]</f>
        <v>0</v>
      </c>
      <c r="X4" s="1">
        <f>COUNTIFS(챔스A_8[팀1 결과],X$2,챔스A_8[팀1],표2_42[[#This Row],[팀]])+COUNTIFS(챔스A_8[팀2 결과],X$2,챔스A_8[팀2],표2_42[[#This Row],[팀]])</f>
        <v>0</v>
      </c>
      <c r="Y4" s="1">
        <f>COUNTIFS(챔스A_8[팀1 결과],Y$2,챔스A_8[팀1],표2_42[[#This Row],[팀]])+COUNTIFS(챔스A_8[팀2 결과],Y$2,챔스A_8[팀2],표2_42[[#This Row],[팀]])</f>
        <v>0</v>
      </c>
      <c r="Z4" s="1">
        <f>COUNTIFS(챔스A_8[팀1 결과],Z$2,챔스A_8[팀1],표2_42[[#This Row],[팀]])+COUNTIFS(챔스A_8[팀2 결과],Z$2,챔스A_8[팀2],표2_42[[#This Row],[팀]])</f>
        <v>0</v>
      </c>
      <c r="AA4" s="1">
        <f>SUMIF(챔스A_8[팀1],표2_42[[#This Row],[팀]],챔스A_8[팀1 S])+SUMIF(챔스A_8[팀2],표2_42[[#This Row],[팀]],챔스A_8[팀2 S])</f>
        <v>0</v>
      </c>
      <c r="AB4" s="1">
        <f>SUMIF(챔스A_8[팀1],표2_42[[#This Row],[팀]],챔스A_8[팀2 S])+SUMIF(챔스A_8[팀2],표2_42[[#This Row],[팀]],챔스A_8[팀1 S])</f>
        <v>0</v>
      </c>
      <c r="AC4" s="1">
        <f>표2_42[[#This Row],[득점]]-표2_42[[#This Row],[실점]]</f>
        <v>0</v>
      </c>
      <c r="AD4" s="1">
        <f>표2_42[[#This Row],[승]]*3+표2_42[[#This Row],[무]]</f>
        <v>0</v>
      </c>
    </row>
    <row r="5" spans="2:30" ht="24.95" customHeight="1" thickBot="1" x14ac:dyDescent="0.35">
      <c r="B5" s="199"/>
      <c r="D5" s="138">
        <v>1</v>
      </c>
      <c r="E5" s="51" t="str" cm="1">
        <f t="array" ref="E5:M7">_xlfn._xlws.SORT(_xlfn._xlws.SORT(_xlfn._xlws.SORT(_xlfn._xlws.SORT((_xlfn._xlws.FILTER(표2_42[],표2_42[경기]&gt;(-1),)),7,1),6,-1),8,-1),9,-1)</f>
        <v>루마니아</v>
      </c>
      <c r="F5" s="39">
        <v>0</v>
      </c>
      <c r="G5" s="40">
        <v>0</v>
      </c>
      <c r="H5" s="40">
        <v>0</v>
      </c>
      <c r="I5" s="40">
        <v>0</v>
      </c>
      <c r="J5" s="41">
        <v>0</v>
      </c>
      <c r="K5" s="40">
        <v>0</v>
      </c>
      <c r="L5" s="42">
        <v>0</v>
      </c>
      <c r="M5" s="48">
        <v>0</v>
      </c>
      <c r="O5" s="24" t="str">
        <f t="shared" si="0"/>
        <v/>
      </c>
      <c r="P5" s="17" t="str">
        <f>V4</f>
        <v>루마니아</v>
      </c>
      <c r="Q5" s="25"/>
      <c r="R5" s="16"/>
      <c r="S5" s="17" t="str">
        <f>V5</f>
        <v>이탈리아</v>
      </c>
      <c r="T5" s="18" t="str">
        <f t="shared" si="1"/>
        <v/>
      </c>
      <c r="V5" t="s">
        <v>74</v>
      </c>
      <c r="W5" s="1">
        <f>표2_42[[#This Row],[승]]+표2_42[[#This Row],[무]]+표2_42[[#This Row],[패]]</f>
        <v>0</v>
      </c>
      <c r="X5" s="1">
        <f>COUNTIFS(챔스A_8[팀1 결과],X$2,챔스A_8[팀1],표2_42[[#This Row],[팀]])+COUNTIFS(챔스A_8[팀2 결과],X$2,챔스A_8[팀2],표2_42[[#This Row],[팀]])</f>
        <v>0</v>
      </c>
      <c r="Y5" s="1">
        <f>COUNTIFS(챔스A_8[팀1 결과],Y$2,챔스A_8[팀1],표2_42[[#This Row],[팀]])+COUNTIFS(챔스A_8[팀2 결과],Y$2,챔스A_8[팀2],표2_42[[#This Row],[팀]])</f>
        <v>0</v>
      </c>
      <c r="Z5" s="1">
        <f>COUNTIFS(챔스A_8[팀1 결과],Z$2,챔스A_8[팀1],표2_42[[#This Row],[팀]])+COUNTIFS(챔스A_8[팀2 결과],Z$2,챔스A_8[팀2],표2_42[[#This Row],[팀]])</f>
        <v>0</v>
      </c>
      <c r="AA5" s="1">
        <f>SUMIF(챔스A_8[팀1],표2_42[[#This Row],[팀]],챔스A_8[팀1 S])+SUMIF(챔스A_8[팀2],표2_42[[#This Row],[팀]],챔스A_8[팀2 S])</f>
        <v>0</v>
      </c>
      <c r="AB5" s="1">
        <f>SUMIF(챔스A_8[팀1],표2_42[[#This Row],[팀]],챔스A_8[팀2 S])+SUMIF(챔스A_8[팀2],표2_42[[#This Row],[팀]],챔스A_8[팀1 S])</f>
        <v>0</v>
      </c>
      <c r="AC5" s="1">
        <f>표2_42[[#This Row],[득점]]-표2_42[[#This Row],[실점]]</f>
        <v>0</v>
      </c>
      <c r="AD5" s="1">
        <f>표2_42[[#This Row],[승]]*3+표2_42[[#This Row],[무]]</f>
        <v>0</v>
      </c>
    </row>
    <row r="6" spans="2:30" ht="24.95" customHeight="1" thickBot="1" x14ac:dyDescent="0.35">
      <c r="B6" s="199"/>
      <c r="D6" s="139">
        <v>2</v>
      </c>
      <c r="E6" s="52" t="str">
        <v>이탈리아</v>
      </c>
      <c r="F6" s="32">
        <v>0</v>
      </c>
      <c r="G6" s="33">
        <v>0</v>
      </c>
      <c r="H6" s="33">
        <v>0</v>
      </c>
      <c r="I6" s="33">
        <v>0</v>
      </c>
      <c r="J6" s="34">
        <v>0</v>
      </c>
      <c r="K6" s="33">
        <v>0</v>
      </c>
      <c r="L6" s="35">
        <v>0</v>
      </c>
      <c r="M6" s="49">
        <v>0</v>
      </c>
      <c r="O6" s="153" t="str">
        <f t="shared" si="0"/>
        <v/>
      </c>
      <c r="P6" s="121" t="str">
        <f>V4</f>
        <v>루마니아</v>
      </c>
      <c r="Q6" s="154"/>
      <c r="R6" s="155"/>
      <c r="S6" s="121" t="str">
        <f>V6</f>
        <v>포르투갈</v>
      </c>
      <c r="T6" s="154" t="str">
        <f t="shared" si="1"/>
        <v/>
      </c>
      <c r="V6" t="s">
        <v>76</v>
      </c>
      <c r="W6" s="1">
        <f>표2_42[[#This Row],[승]]+표2_42[[#This Row],[무]]+표2_42[[#This Row],[패]]</f>
        <v>0</v>
      </c>
      <c r="X6" s="1">
        <f>COUNTIFS(챔스A_8[팀1 결과],X$2,챔스A_8[팀1],표2_42[[#This Row],[팀]])+COUNTIFS(챔스A_8[팀2 결과],X$2,챔스A_8[팀2],표2_42[[#This Row],[팀]])</f>
        <v>0</v>
      </c>
      <c r="Y6" s="1">
        <f>COUNTIFS(챔스A_8[팀1 결과],Y$2,챔스A_8[팀1],표2_42[[#This Row],[팀]])+COUNTIFS(챔스A_8[팀2 결과],Y$2,챔스A_8[팀2],표2_42[[#This Row],[팀]])</f>
        <v>0</v>
      </c>
      <c r="Z6" s="1">
        <f>COUNTIFS(챔스A_8[팀1 결과],Z$2,챔스A_8[팀1],표2_42[[#This Row],[팀]])+COUNTIFS(챔스A_8[팀2 결과],Z$2,챔스A_8[팀2],표2_42[[#This Row],[팀]])</f>
        <v>0</v>
      </c>
      <c r="AA6" s="1">
        <f>SUMIF(챔스A_8[팀1],표2_42[[#This Row],[팀]],챔스A_8[팀1 S])+SUMIF(챔스A_8[팀2],표2_42[[#This Row],[팀]],챔스A_8[팀2 S])</f>
        <v>0</v>
      </c>
      <c r="AB6" s="1">
        <f>SUMIF(챔스A_8[팀1],표2_42[[#This Row],[팀]],챔스A_8[팀2 S])+SUMIF(챔스A_8[팀2],표2_42[[#This Row],[팀]],챔스A_8[팀1 S])</f>
        <v>0</v>
      </c>
      <c r="AC6" s="1">
        <f>표2_42[[#This Row],[득점]]-표2_42[[#This Row],[실점]]</f>
        <v>0</v>
      </c>
      <c r="AD6" s="1">
        <f>표2_42[[#This Row],[승]]*3+표2_42[[#This Row],[무]]</f>
        <v>0</v>
      </c>
    </row>
    <row r="7" spans="2:30" ht="24.95" customHeight="1" thickBot="1" x14ac:dyDescent="0.35">
      <c r="B7" s="200"/>
      <c r="D7" s="140">
        <v>3</v>
      </c>
      <c r="E7" s="53" t="str">
        <v>포르투갈</v>
      </c>
      <c r="F7" s="28">
        <v>0</v>
      </c>
      <c r="G7" s="29">
        <v>0</v>
      </c>
      <c r="H7" s="29">
        <v>0</v>
      </c>
      <c r="I7" s="29">
        <v>0</v>
      </c>
      <c r="J7" s="30">
        <v>0</v>
      </c>
      <c r="K7" s="29">
        <v>0</v>
      </c>
      <c r="L7" s="31">
        <v>0</v>
      </c>
      <c r="M7" s="50">
        <v>0</v>
      </c>
      <c r="O7" s="149" t="str">
        <f t="shared" si="0"/>
        <v/>
      </c>
      <c r="P7" s="150" t="str">
        <f>V4</f>
        <v>루마니아</v>
      </c>
      <c r="Q7" s="151"/>
      <c r="R7" s="152"/>
      <c r="S7" s="150" t="str">
        <f>V6</f>
        <v>포르투갈</v>
      </c>
      <c r="T7" s="151" t="str">
        <f t="shared" si="1"/>
        <v/>
      </c>
    </row>
    <row r="8" spans="2:30" ht="24.95" customHeight="1" thickBot="1" x14ac:dyDescent="0.35">
      <c r="O8" s="153" t="str">
        <f t="shared" si="0"/>
        <v/>
      </c>
      <c r="P8" s="121" t="str">
        <f>V5</f>
        <v>이탈리아</v>
      </c>
      <c r="Q8" s="154"/>
      <c r="R8" s="155"/>
      <c r="S8" s="121" t="str">
        <f>V6</f>
        <v>포르투갈</v>
      </c>
      <c r="T8" s="154" t="str">
        <f t="shared" si="1"/>
        <v/>
      </c>
      <c r="X8" s="1" t="s">
        <v>4</v>
      </c>
      <c r="Y8" s="1" t="s">
        <v>2</v>
      </c>
      <c r="Z8" s="1" t="s">
        <v>10</v>
      </c>
    </row>
    <row r="9" spans="2:30" ht="24.95" customHeight="1" thickBot="1" x14ac:dyDescent="0.35">
      <c r="B9" s="198" t="s">
        <v>63</v>
      </c>
      <c r="D9" s="137" t="s">
        <v>41</v>
      </c>
      <c r="E9" s="43" t="s">
        <v>5</v>
      </c>
      <c r="F9" s="44" t="s">
        <v>29</v>
      </c>
      <c r="G9" s="45" t="s">
        <v>4</v>
      </c>
      <c r="H9" s="45" t="s">
        <v>2</v>
      </c>
      <c r="I9" s="45" t="s">
        <v>10</v>
      </c>
      <c r="J9" s="46" t="s">
        <v>22</v>
      </c>
      <c r="K9" s="45" t="s">
        <v>24</v>
      </c>
      <c r="L9" s="47" t="s">
        <v>26</v>
      </c>
      <c r="M9" s="47" t="s">
        <v>32</v>
      </c>
      <c r="O9" s="149" t="str">
        <f t="shared" si="0"/>
        <v/>
      </c>
      <c r="P9" s="150" t="str">
        <f>V5</f>
        <v>이탈리아</v>
      </c>
      <c r="Q9" s="151"/>
      <c r="R9" s="152"/>
      <c r="S9" s="150" t="str">
        <f>V6</f>
        <v>포르투갈</v>
      </c>
      <c r="T9" s="151" t="str">
        <f t="shared" si="1"/>
        <v/>
      </c>
      <c r="V9" s="1" t="s">
        <v>30</v>
      </c>
      <c r="W9" s="1" t="s">
        <v>28</v>
      </c>
      <c r="X9" s="1" t="s">
        <v>3</v>
      </c>
      <c r="Y9" s="1" t="s">
        <v>1</v>
      </c>
      <c r="Z9" s="1" t="s">
        <v>9</v>
      </c>
      <c r="AA9" s="1" t="s">
        <v>21</v>
      </c>
      <c r="AB9" s="1" t="s">
        <v>23</v>
      </c>
      <c r="AC9" s="1" t="s">
        <v>25</v>
      </c>
      <c r="AD9" s="1" t="s">
        <v>27</v>
      </c>
    </row>
    <row r="10" spans="2:30" ht="24.95" customHeight="1" thickBot="1" x14ac:dyDescent="0.35">
      <c r="B10" s="199"/>
      <c r="D10" s="138">
        <v>1</v>
      </c>
      <c r="E10" s="51" t="str" cm="1">
        <f t="array" ref="E10:M12">_xlfn._xlws.SORT(_xlfn._xlws.SORT(_xlfn._xlws.SORT(_xlfn._xlws.SORT((_xlfn._xlws.FILTER(표2_469[],표2_469[경기]&gt;(-1),)),7,1),6,-1),8,-1),9,-1)</f>
        <v>오스트리아</v>
      </c>
      <c r="F10" s="39">
        <v>4</v>
      </c>
      <c r="G10" s="40">
        <v>2</v>
      </c>
      <c r="H10" s="40">
        <v>2</v>
      </c>
      <c r="I10" s="40">
        <v>0</v>
      </c>
      <c r="J10" s="41">
        <v>11</v>
      </c>
      <c r="K10" s="40">
        <v>7</v>
      </c>
      <c r="L10" s="42">
        <v>4</v>
      </c>
      <c r="M10" s="48">
        <v>8</v>
      </c>
      <c r="V10" t="s">
        <v>78</v>
      </c>
      <c r="W10" s="1">
        <f>표2_469[[#This Row],[승]]+표2_469[[#This Row],[무]]+표2_469[[#This Row],[패]]</f>
        <v>4</v>
      </c>
      <c r="X10" s="1">
        <f>COUNTIFS(챔스A_713[팀1 결과],X$8,챔스A_713[팀1],표2_469[[#This Row],[팀]])+COUNTIFS(챔스A_713[팀2 결과],X$8,챔스A_713[팀2],표2_469[[#This Row],[팀]])</f>
        <v>1</v>
      </c>
      <c r="Y10" s="1">
        <f>COUNTIFS(챔스A_713[팀1 결과],Y$8,챔스A_713[팀1],표2_469[[#This Row],[팀]])+COUNTIFS(챔스A_713[팀2 결과],Y$8,챔스A_713[팀2],표2_469[[#This Row],[팀]])</f>
        <v>2</v>
      </c>
      <c r="Z10" s="1">
        <f>COUNTIFS(챔스A_713[팀1 결과],Z$8,챔스A_713[팀1],표2_469[[#This Row],[팀]])+COUNTIFS(챔스A_713[팀2 결과],Z$8,챔스A_713[팀2],표2_469[[#This Row],[팀]])</f>
        <v>1</v>
      </c>
      <c r="AA10" s="1">
        <f>SUMIF(챔스A_713[팀1],표2_469[[#This Row],[팀]],챔스A_713[팀1 S])+SUMIF(챔스A_713[팀2],표2_469[[#This Row],[팀]],챔스A_713[팀2 S])</f>
        <v>12</v>
      </c>
      <c r="AB10" s="1">
        <f>SUMIF(챔스A_713[팀1],표2_469[[#This Row],[팀]],챔스A_713[팀2 S])+SUMIF(챔스A_713[팀2],표2_469[[#This Row],[팀]],챔스A_713[팀1 S])</f>
        <v>11</v>
      </c>
      <c r="AC10" s="1">
        <f>표2_469[[#This Row],[득점]]-표2_469[[#This Row],[실점]]</f>
        <v>1</v>
      </c>
      <c r="AD10" s="1">
        <f>표2_469[[#This Row],[승]]*3+표2_469[[#This Row],[무]]</f>
        <v>5</v>
      </c>
    </row>
    <row r="11" spans="2:30" ht="24.95" customHeight="1" thickBot="1" x14ac:dyDescent="0.35">
      <c r="B11" s="199"/>
      <c r="D11" s="139">
        <v>2</v>
      </c>
      <c r="E11" s="52" t="str">
        <v>독일</v>
      </c>
      <c r="F11" s="32">
        <v>4</v>
      </c>
      <c r="G11" s="33">
        <v>1</v>
      </c>
      <c r="H11" s="33">
        <v>2</v>
      </c>
      <c r="I11" s="33">
        <v>1</v>
      </c>
      <c r="J11" s="34">
        <v>12</v>
      </c>
      <c r="K11" s="33">
        <v>11</v>
      </c>
      <c r="L11" s="35">
        <v>1</v>
      </c>
      <c r="M11" s="49">
        <v>5</v>
      </c>
      <c r="O11" s="204" t="s">
        <v>63</v>
      </c>
      <c r="P11" s="205"/>
      <c r="Q11" s="205"/>
      <c r="R11" s="205"/>
      <c r="S11" s="205"/>
      <c r="T11" s="206"/>
      <c r="V11" t="s">
        <v>80</v>
      </c>
      <c r="W11" s="1">
        <f>표2_469[[#This Row],[승]]+표2_469[[#This Row],[무]]+표2_469[[#This Row],[패]]</f>
        <v>4</v>
      </c>
      <c r="X11" s="1">
        <f>COUNTIFS(챔스A_713[팀1 결과],X$8,챔스A_713[팀1],표2_469[[#This Row],[팀]])+COUNTIFS(챔스A_713[팀2 결과],X$8,챔스A_713[팀2],표2_469[[#This Row],[팀]])</f>
        <v>2</v>
      </c>
      <c r="Y11" s="1">
        <f>COUNTIFS(챔스A_713[팀1 결과],Y$8,챔스A_713[팀1],표2_469[[#This Row],[팀]])+COUNTIFS(챔스A_713[팀2 결과],Y$8,챔스A_713[팀2],표2_469[[#This Row],[팀]])</f>
        <v>2</v>
      </c>
      <c r="Z11" s="1">
        <f>COUNTIFS(챔스A_713[팀1 결과],Z$8,챔스A_713[팀1],표2_469[[#This Row],[팀]])+COUNTIFS(챔스A_713[팀2 결과],Z$8,챔스A_713[팀2],표2_469[[#This Row],[팀]])</f>
        <v>0</v>
      </c>
      <c r="AA11" s="1">
        <f>SUMIF(챔스A_713[팀1],표2_469[[#This Row],[팀]],챔스A_713[팀1 S])+SUMIF(챔스A_713[팀2],표2_469[[#This Row],[팀]],챔스A_713[팀2 S])</f>
        <v>11</v>
      </c>
      <c r="AB11" s="1">
        <f>SUMIF(챔스A_713[팀1],표2_469[[#This Row],[팀]],챔스A_713[팀2 S])+SUMIF(챔스A_713[팀2],표2_469[[#This Row],[팀]],챔스A_713[팀1 S])</f>
        <v>7</v>
      </c>
      <c r="AC11" s="1">
        <f>표2_469[[#This Row],[득점]]-표2_469[[#This Row],[실점]]</f>
        <v>4</v>
      </c>
      <c r="AD11" s="1">
        <f>표2_469[[#This Row],[승]]*3+표2_469[[#This Row],[무]]</f>
        <v>8</v>
      </c>
    </row>
    <row r="12" spans="2:30" ht="24.95" customHeight="1" thickBot="1" x14ac:dyDescent="0.35">
      <c r="B12" s="200"/>
      <c r="D12" s="140">
        <v>3</v>
      </c>
      <c r="E12" s="53" t="str">
        <v>프랑스</v>
      </c>
      <c r="F12" s="28">
        <v>4</v>
      </c>
      <c r="G12" s="29">
        <v>0</v>
      </c>
      <c r="H12" s="29">
        <v>2</v>
      </c>
      <c r="I12" s="29">
        <v>2</v>
      </c>
      <c r="J12" s="30">
        <v>7</v>
      </c>
      <c r="K12" s="29">
        <v>12</v>
      </c>
      <c r="L12" s="31">
        <v>-5</v>
      </c>
      <c r="M12" s="50">
        <v>2</v>
      </c>
      <c r="O12" s="157" t="s">
        <v>15</v>
      </c>
      <c r="P12" s="10" t="s">
        <v>16</v>
      </c>
      <c r="Q12" s="158" t="s">
        <v>17</v>
      </c>
      <c r="R12" s="9" t="s">
        <v>18</v>
      </c>
      <c r="S12" s="10" t="s">
        <v>19</v>
      </c>
      <c r="T12" s="11" t="s">
        <v>20</v>
      </c>
      <c r="V12" t="s">
        <v>82</v>
      </c>
      <c r="W12" s="1">
        <f>표2_469[[#This Row],[승]]+표2_469[[#This Row],[무]]+표2_469[[#This Row],[패]]</f>
        <v>4</v>
      </c>
      <c r="X12" s="1">
        <f>COUNTIFS(챔스A_713[팀1 결과],X$8,챔스A_713[팀1],표2_469[[#This Row],[팀]])+COUNTIFS(챔스A_713[팀2 결과],X$8,챔스A_713[팀2],표2_469[[#This Row],[팀]])</f>
        <v>0</v>
      </c>
      <c r="Y12" s="1">
        <f>COUNTIFS(챔스A_713[팀1 결과],Y$8,챔스A_713[팀1],표2_469[[#This Row],[팀]])+COUNTIFS(챔스A_713[팀2 결과],Y$8,챔스A_713[팀2],표2_469[[#This Row],[팀]])</f>
        <v>2</v>
      </c>
      <c r="Z12" s="1">
        <f>COUNTIFS(챔스A_713[팀1 결과],Z$8,챔스A_713[팀1],표2_469[[#This Row],[팀]])+COUNTIFS(챔스A_713[팀2 결과],Z$8,챔스A_713[팀2],표2_469[[#This Row],[팀]])</f>
        <v>2</v>
      </c>
      <c r="AA12" s="1">
        <f>SUMIF(챔스A_713[팀1],표2_469[[#This Row],[팀]],챔스A_713[팀1 S])+SUMIF(챔스A_713[팀2],표2_469[[#This Row],[팀]],챔스A_713[팀2 S])</f>
        <v>7</v>
      </c>
      <c r="AB12" s="1">
        <f>SUMIF(챔스A_713[팀1],표2_469[[#This Row],[팀]],챔스A_713[팀2 S])+SUMIF(챔스A_713[팀2],표2_469[[#This Row],[팀]],챔스A_713[팀1 S])</f>
        <v>12</v>
      </c>
      <c r="AC12" s="1">
        <f>표2_469[[#This Row],[득점]]-표2_469[[#This Row],[실점]]</f>
        <v>-5</v>
      </c>
      <c r="AD12" s="1">
        <f>표2_469[[#This Row],[승]]*3+표2_469[[#This Row],[무]]</f>
        <v>2</v>
      </c>
    </row>
    <row r="13" spans="2:30" ht="24.95" customHeight="1" thickBot="1" x14ac:dyDescent="0.35">
      <c r="O13" s="21" t="str">
        <f>IF(Q13="","",IF(Q13&gt;R13,"승",IF(Q13=R13,"무",IF(Q13&lt;R13,"패",""))))</f>
        <v>패</v>
      </c>
      <c r="P13" s="7" t="str">
        <f>V10</f>
        <v>독일</v>
      </c>
      <c r="Q13" s="22">
        <v>1</v>
      </c>
      <c r="R13" s="14">
        <v>4</v>
      </c>
      <c r="S13" s="7" t="str">
        <f>V11</f>
        <v>오스트리아</v>
      </c>
      <c r="T13" s="15" t="str">
        <f>IF(O13="","",IF(O13="무","무",IF(O13="승","패","승")))</f>
        <v>승</v>
      </c>
    </row>
    <row r="14" spans="2:30" ht="24.95" customHeight="1" thickBot="1" x14ac:dyDescent="0.35">
      <c r="B14" s="198" t="s">
        <v>64</v>
      </c>
      <c r="D14" s="137" t="s">
        <v>31</v>
      </c>
      <c r="E14" s="43" t="s">
        <v>5</v>
      </c>
      <c r="F14" s="44" t="s">
        <v>29</v>
      </c>
      <c r="G14" s="45" t="s">
        <v>4</v>
      </c>
      <c r="H14" s="45" t="s">
        <v>2</v>
      </c>
      <c r="I14" s="45" t="s">
        <v>10</v>
      </c>
      <c r="J14" s="46" t="s">
        <v>22</v>
      </c>
      <c r="K14" s="45" t="s">
        <v>24</v>
      </c>
      <c r="L14" s="47" t="s">
        <v>26</v>
      </c>
      <c r="M14" s="47" t="s">
        <v>32</v>
      </c>
      <c r="O14" s="24" t="str">
        <f t="shared" ref="O14:O17" si="2">IF(Q14="","",IF(Q14&gt;R14,"승",IF(Q14=R14,"무",IF(Q14&lt;R14,"패",""))))</f>
        <v>무</v>
      </c>
      <c r="P14" s="17" t="str">
        <f>V10</f>
        <v>독일</v>
      </c>
      <c r="Q14" s="25">
        <v>3</v>
      </c>
      <c r="R14" s="16">
        <v>3</v>
      </c>
      <c r="S14" s="17" t="str">
        <f>V11</f>
        <v>오스트리아</v>
      </c>
      <c r="T14" s="18" t="str">
        <f t="shared" ref="T14:T17" si="3">IF(O14="","",IF(O14="무","무",IF(O14="승","패","승")))</f>
        <v>무</v>
      </c>
      <c r="X14" s="1" t="s">
        <v>4</v>
      </c>
      <c r="Y14" s="1" t="s">
        <v>2</v>
      </c>
      <c r="Z14" s="1" t="s">
        <v>10</v>
      </c>
    </row>
    <row r="15" spans="2:30" ht="24.95" customHeight="1" thickBot="1" x14ac:dyDescent="0.35">
      <c r="B15" s="199"/>
      <c r="D15" s="138">
        <v>1</v>
      </c>
      <c r="E15" s="51" t="str" cm="1">
        <f t="array" ref="E15:M17">_xlfn._xlws.SORT(_xlfn._xlws.SORT(_xlfn._xlws.SORT(_xlfn._xlws.SORT((_xlfn._xlws.FILTER(표2_468101519[],표2_468101519[경기]&gt;(-1),)),7,1),6,-1),8,-1),9,-1)</f>
        <v>잉글랜드</v>
      </c>
      <c r="F15" s="39">
        <v>4</v>
      </c>
      <c r="G15" s="40">
        <v>3</v>
      </c>
      <c r="H15" s="40">
        <v>1</v>
      </c>
      <c r="I15" s="40">
        <v>0</v>
      </c>
      <c r="J15" s="41">
        <v>13</v>
      </c>
      <c r="K15" s="40">
        <v>5</v>
      </c>
      <c r="L15" s="42">
        <v>8</v>
      </c>
      <c r="M15" s="48">
        <v>10</v>
      </c>
      <c r="O15" s="153" t="str">
        <f t="shared" si="2"/>
        <v>무</v>
      </c>
      <c r="P15" s="121" t="str">
        <f>V10</f>
        <v>독일</v>
      </c>
      <c r="Q15" s="154">
        <v>3</v>
      </c>
      <c r="R15" s="155">
        <v>3</v>
      </c>
      <c r="S15" s="121" t="str">
        <f>V12</f>
        <v>프랑스</v>
      </c>
      <c r="T15" s="154" t="str">
        <f t="shared" si="3"/>
        <v>무</v>
      </c>
      <c r="V15" s="1" t="s">
        <v>30</v>
      </c>
      <c r="W15" s="1" t="s">
        <v>28</v>
      </c>
      <c r="X15" s="1" t="s">
        <v>3</v>
      </c>
      <c r="Y15" s="1" t="s">
        <v>1</v>
      </c>
      <c r="Z15" s="1" t="s">
        <v>9</v>
      </c>
      <c r="AA15" s="1" t="s">
        <v>21</v>
      </c>
      <c r="AB15" s="1" t="s">
        <v>23</v>
      </c>
      <c r="AC15" s="1" t="s">
        <v>25</v>
      </c>
      <c r="AD15" s="1" t="s">
        <v>27</v>
      </c>
    </row>
    <row r="16" spans="2:30" ht="24.95" customHeight="1" thickBot="1" x14ac:dyDescent="0.35">
      <c r="B16" s="199"/>
      <c r="D16" s="139">
        <v>2</v>
      </c>
      <c r="E16" s="52" t="str">
        <v>크로아티아</v>
      </c>
      <c r="F16" s="32">
        <v>4</v>
      </c>
      <c r="G16" s="33">
        <v>1</v>
      </c>
      <c r="H16" s="33">
        <v>1</v>
      </c>
      <c r="I16" s="33">
        <v>2</v>
      </c>
      <c r="J16" s="34">
        <v>7</v>
      </c>
      <c r="K16" s="33">
        <v>8</v>
      </c>
      <c r="L16" s="35">
        <v>-1</v>
      </c>
      <c r="M16" s="49">
        <v>4</v>
      </c>
      <c r="O16" s="24" t="str">
        <f t="shared" si="2"/>
        <v>승</v>
      </c>
      <c r="P16" s="17" t="str">
        <f>V10</f>
        <v>독일</v>
      </c>
      <c r="Q16" s="25">
        <v>5</v>
      </c>
      <c r="R16" s="16">
        <v>1</v>
      </c>
      <c r="S16" s="17" t="str">
        <f>V12</f>
        <v>프랑스</v>
      </c>
      <c r="T16" s="25" t="str">
        <f t="shared" si="3"/>
        <v>패</v>
      </c>
      <c r="V16" t="s">
        <v>84</v>
      </c>
      <c r="W16" s="1">
        <f>표2_468101519[[#This Row],[승]]+표2_468101519[[#This Row],[무]]+표2_468101519[[#This Row],[패]]</f>
        <v>4</v>
      </c>
      <c r="X16" s="1">
        <f>COUNTIFS(챔스A_79111820[팀1 결과],X$14,챔스A_79111820[팀1],표2_468101519[[#This Row],[팀]])+COUNTIFS(챔스A_79111820[팀2 결과],X$14,챔스A_79111820[팀2],표2_468101519[[#This Row],[팀]])</f>
        <v>1</v>
      </c>
      <c r="Y16" s="1">
        <f>COUNTIFS(챔스A_79111820[팀1 결과],Y$14,챔스A_79111820[팀1],표2_468101519[[#This Row],[팀]])+COUNTIFS(챔스A_79111820[팀2 결과],Y$14,챔스A_79111820[팀2],표2_468101519[[#This Row],[팀]])</f>
        <v>0</v>
      </c>
      <c r="Z16" s="1">
        <f>COUNTIFS(챔스A_79111820[팀1 결과],Z$14,챔스A_79111820[팀1],표2_468101519[[#This Row],[팀]])+COUNTIFS(챔스A_79111820[팀2 결과],Z$14,챔스A_79111820[팀2],표2_468101519[[#This Row],[팀]])</f>
        <v>3</v>
      </c>
      <c r="AA16" s="1">
        <f>SUMIF(챔스A_79111820[팀1],표2_468101519[[#This Row],[팀]],챔스A_79111820[팀1 S])+SUMIF(챔스A_79111820[팀2],표2_468101519[[#This Row],[팀]],챔스A_79111820[팀2 S])</f>
        <v>4</v>
      </c>
      <c r="AB16" s="1">
        <f>SUMIF(챔스A_79111820[팀1],표2_468101519[[#This Row],[팀]],챔스A_79111820[팀2 S])+SUMIF(챔스A_79111820[팀2],표2_468101519[[#This Row],[팀]],챔스A_79111820[팀1 S])</f>
        <v>11</v>
      </c>
      <c r="AC16" s="1">
        <f>표2_468101519[[#This Row],[득점]]-표2_468101519[[#This Row],[실점]]</f>
        <v>-7</v>
      </c>
      <c r="AD16" s="1">
        <f>표2_468101519[[#This Row],[승]]*3+표2_468101519[[#This Row],[무]]</f>
        <v>3</v>
      </c>
    </row>
    <row r="17" spans="2:30" ht="24.95" customHeight="1" thickBot="1" x14ac:dyDescent="0.35">
      <c r="B17" s="200"/>
      <c r="D17" s="142">
        <v>3</v>
      </c>
      <c r="E17" s="143" t="str">
        <v>스페인</v>
      </c>
      <c r="F17" s="144">
        <v>4</v>
      </c>
      <c r="G17" s="36">
        <v>1</v>
      </c>
      <c r="H17" s="36">
        <v>0</v>
      </c>
      <c r="I17" s="36">
        <v>3</v>
      </c>
      <c r="J17" s="37">
        <v>4</v>
      </c>
      <c r="K17" s="36">
        <v>11</v>
      </c>
      <c r="L17" s="38">
        <v>-7</v>
      </c>
      <c r="M17" s="145">
        <v>3</v>
      </c>
      <c r="O17" s="153" t="str">
        <f t="shared" si="2"/>
        <v>무</v>
      </c>
      <c r="P17" s="121" t="str">
        <f>V11</f>
        <v>오스트리아</v>
      </c>
      <c r="Q17" s="154">
        <v>2</v>
      </c>
      <c r="R17" s="155">
        <v>2</v>
      </c>
      <c r="S17" s="121" t="str">
        <f>V12</f>
        <v>프랑스</v>
      </c>
      <c r="T17" s="154" t="str">
        <f t="shared" si="3"/>
        <v>무</v>
      </c>
      <c r="V17" t="s">
        <v>86</v>
      </c>
      <c r="W17" s="1">
        <f>표2_468101519[[#This Row],[승]]+표2_468101519[[#This Row],[무]]+표2_468101519[[#This Row],[패]]</f>
        <v>4</v>
      </c>
      <c r="X17" s="1">
        <f>COUNTIFS(챔스A_79111820[팀1 결과],X$14,챔스A_79111820[팀1],표2_468101519[[#This Row],[팀]])+COUNTIFS(챔스A_79111820[팀2 결과],X$14,챔스A_79111820[팀2],표2_468101519[[#This Row],[팀]])</f>
        <v>3</v>
      </c>
      <c r="Y17" s="1">
        <f>COUNTIFS(챔스A_79111820[팀1 결과],Y$14,챔스A_79111820[팀1],표2_468101519[[#This Row],[팀]])+COUNTIFS(챔스A_79111820[팀2 결과],Y$14,챔스A_79111820[팀2],표2_468101519[[#This Row],[팀]])</f>
        <v>1</v>
      </c>
      <c r="Z17" s="1">
        <f>COUNTIFS(챔스A_79111820[팀1 결과],Z$14,챔스A_79111820[팀1],표2_468101519[[#This Row],[팀]])+COUNTIFS(챔스A_79111820[팀2 결과],Z$14,챔스A_79111820[팀2],표2_468101519[[#This Row],[팀]])</f>
        <v>0</v>
      </c>
      <c r="AA17" s="1">
        <f>SUMIF(챔스A_79111820[팀1],표2_468101519[[#This Row],[팀]],챔스A_79111820[팀1 S])+SUMIF(챔스A_79111820[팀2],표2_468101519[[#This Row],[팀]],챔스A_79111820[팀2 S])</f>
        <v>13</v>
      </c>
      <c r="AB17" s="1">
        <f>SUMIF(챔스A_79111820[팀1],표2_468101519[[#This Row],[팀]],챔스A_79111820[팀2 S])+SUMIF(챔스A_79111820[팀2],표2_468101519[[#This Row],[팀]],챔스A_79111820[팀1 S])</f>
        <v>5</v>
      </c>
      <c r="AC17" s="1">
        <f>표2_468101519[[#This Row],[득점]]-표2_468101519[[#This Row],[실점]]</f>
        <v>8</v>
      </c>
      <c r="AD17" s="1">
        <f>표2_468101519[[#This Row],[승]]*3+표2_468101519[[#This Row],[무]]</f>
        <v>10</v>
      </c>
    </row>
    <row r="18" spans="2:30" ht="24.95" customHeight="1" x14ac:dyDescent="0.3">
      <c r="O18" s="149" t="str">
        <f>IF(Q18="","",IF(Q18&gt;R18,"승",IF(Q18=R18,"무",IF(Q18&lt;R18,"패",""))))</f>
        <v>승</v>
      </c>
      <c r="P18" s="150" t="str">
        <f>V11</f>
        <v>오스트리아</v>
      </c>
      <c r="Q18" s="151">
        <v>2</v>
      </c>
      <c r="R18" s="152">
        <v>1</v>
      </c>
      <c r="S18" s="150" t="str">
        <f>V12</f>
        <v>프랑스</v>
      </c>
      <c r="T18" s="151" t="str">
        <f>IF(O18="","",IF(O18="무","무",IF(O18="승","패","승")))</f>
        <v>패</v>
      </c>
      <c r="V18" t="s">
        <v>88</v>
      </c>
      <c r="W18" s="1">
        <f>표2_468101519[[#This Row],[승]]+표2_468101519[[#This Row],[무]]+표2_468101519[[#This Row],[패]]</f>
        <v>4</v>
      </c>
      <c r="X18" s="1">
        <f>COUNTIFS(챔스A_79111820[팀1 결과],X$14,챔스A_79111820[팀1],표2_468101519[[#This Row],[팀]])+COUNTIFS(챔스A_79111820[팀2 결과],X$14,챔스A_79111820[팀2],표2_468101519[[#This Row],[팀]])</f>
        <v>1</v>
      </c>
      <c r="Y18" s="1">
        <f>COUNTIFS(챔스A_79111820[팀1 결과],Y$14,챔스A_79111820[팀1],표2_468101519[[#This Row],[팀]])+COUNTIFS(챔스A_79111820[팀2 결과],Y$14,챔스A_79111820[팀2],표2_468101519[[#This Row],[팀]])</f>
        <v>1</v>
      </c>
      <c r="Z18" s="1">
        <f>COUNTIFS(챔스A_79111820[팀1 결과],Z$14,챔스A_79111820[팀1],표2_468101519[[#This Row],[팀]])+COUNTIFS(챔스A_79111820[팀2 결과],Z$14,챔스A_79111820[팀2],표2_468101519[[#This Row],[팀]])</f>
        <v>2</v>
      </c>
      <c r="AA18" s="1">
        <f>SUMIF(챔스A_79111820[팀1],표2_468101519[[#This Row],[팀]],챔스A_79111820[팀1 S])+SUMIF(챔스A_79111820[팀2],표2_468101519[[#This Row],[팀]],챔스A_79111820[팀2 S])</f>
        <v>7</v>
      </c>
      <c r="AB18" s="1">
        <f>SUMIF(챔스A_79111820[팀1],표2_468101519[[#This Row],[팀]],챔스A_79111820[팀2 S])+SUMIF(챔스A_79111820[팀2],표2_468101519[[#This Row],[팀]],챔스A_79111820[팀1 S])</f>
        <v>8</v>
      </c>
      <c r="AC18" s="1">
        <f>표2_468101519[[#This Row],[득점]]-표2_468101519[[#This Row],[실점]]</f>
        <v>-1</v>
      </c>
      <c r="AD18" s="1">
        <f>표2_468101519[[#This Row],[승]]*3+표2_468101519[[#This Row],[무]]</f>
        <v>4</v>
      </c>
    </row>
    <row r="19" spans="2:30" ht="24.95" customHeight="1" thickBot="1" x14ac:dyDescent="0.35"/>
    <row r="20" spans="2:30" ht="24.95" customHeight="1" thickBot="1" x14ac:dyDescent="0.35">
      <c r="O20" s="204" t="s">
        <v>64</v>
      </c>
      <c r="P20" s="205"/>
      <c r="Q20" s="205"/>
      <c r="R20" s="205"/>
      <c r="S20" s="205"/>
      <c r="T20" s="206"/>
      <c r="X20" s="1"/>
      <c r="Y20" s="1"/>
      <c r="Z20" s="1"/>
    </row>
    <row r="21" spans="2:30" ht="24.95" customHeight="1" x14ac:dyDescent="0.3">
      <c r="O21" s="157" t="s">
        <v>15</v>
      </c>
      <c r="P21" s="10" t="s">
        <v>16</v>
      </c>
      <c r="Q21" s="158" t="s">
        <v>17</v>
      </c>
      <c r="R21" s="9" t="s">
        <v>18</v>
      </c>
      <c r="S21" s="10" t="s">
        <v>19</v>
      </c>
      <c r="T21" s="11" t="s">
        <v>20</v>
      </c>
      <c r="V21" s="1"/>
      <c r="W21" s="1"/>
      <c r="X21" s="1"/>
      <c r="Y21" s="1"/>
      <c r="Z21" s="1"/>
      <c r="AA21" s="1"/>
      <c r="AB21" s="1"/>
      <c r="AC21" s="1"/>
      <c r="AD21" s="1"/>
    </row>
    <row r="22" spans="2:30" ht="24.95" customHeight="1" x14ac:dyDescent="0.3">
      <c r="O22" s="21" t="str">
        <f t="shared" ref="O22:O27" si="4">IF(Q22="","",IF(Q22&gt;R22,"승",IF(Q22=R22,"무",IF(Q22&lt;R22,"패",""))))</f>
        <v>패</v>
      </c>
      <c r="P22" s="185" t="str">
        <f>V16</f>
        <v>스페인</v>
      </c>
      <c r="Q22" s="22">
        <v>0</v>
      </c>
      <c r="R22" s="14">
        <v>6</v>
      </c>
      <c r="S22" s="7" t="str">
        <f>V17</f>
        <v>잉글랜드</v>
      </c>
      <c r="T22" s="15" t="str">
        <f t="shared" ref="T22:T27" si="5">IF(O22="","",IF(O22="무","무",IF(O22="승","패","승")))</f>
        <v>승</v>
      </c>
      <c r="W22" s="1"/>
      <c r="X22" s="1"/>
      <c r="Y22" s="1"/>
      <c r="Z22" s="1"/>
      <c r="AA22" s="1"/>
      <c r="AB22" s="1"/>
      <c r="AC22" s="1"/>
      <c r="AD22" s="1"/>
    </row>
    <row r="23" spans="2:30" ht="24.95" customHeight="1" x14ac:dyDescent="0.3">
      <c r="O23" s="24" t="str">
        <f t="shared" si="4"/>
        <v>패</v>
      </c>
      <c r="P23" s="186" t="str">
        <f>V16</f>
        <v>스페인</v>
      </c>
      <c r="Q23" s="25">
        <v>1</v>
      </c>
      <c r="R23" s="16">
        <v>2</v>
      </c>
      <c r="S23" s="17" t="str">
        <f>V17</f>
        <v>잉글랜드</v>
      </c>
      <c r="T23" s="18" t="str">
        <f t="shared" si="5"/>
        <v>승</v>
      </c>
      <c r="W23" s="1"/>
      <c r="X23" s="1"/>
      <c r="Y23" s="1"/>
      <c r="Z23" s="1"/>
      <c r="AA23" s="1"/>
      <c r="AB23" s="1"/>
      <c r="AC23" s="1"/>
      <c r="AD23" s="1"/>
    </row>
    <row r="24" spans="2:30" ht="24.95" customHeight="1" x14ac:dyDescent="0.3">
      <c r="O24" s="153" t="str">
        <f t="shared" si="4"/>
        <v>승</v>
      </c>
      <c r="P24" s="187" t="str">
        <f>V16</f>
        <v>스페인</v>
      </c>
      <c r="Q24" s="154">
        <v>1</v>
      </c>
      <c r="R24" s="155">
        <v>0</v>
      </c>
      <c r="S24" s="121" t="str">
        <f>V18</f>
        <v>크로아티아</v>
      </c>
      <c r="T24" s="154" t="str">
        <f t="shared" si="5"/>
        <v>패</v>
      </c>
      <c r="W24" s="1"/>
      <c r="X24" s="1"/>
      <c r="Y24" s="1"/>
      <c r="Z24" s="1"/>
      <c r="AA24" s="1"/>
      <c r="AB24" s="1"/>
      <c r="AC24" s="1"/>
      <c r="AD24" s="1"/>
    </row>
    <row r="25" spans="2:30" ht="24.95" customHeight="1" x14ac:dyDescent="0.3">
      <c r="O25" s="149" t="str">
        <f t="shared" si="4"/>
        <v>패</v>
      </c>
      <c r="P25" s="188" t="str">
        <f>V16</f>
        <v>스페인</v>
      </c>
      <c r="Q25" s="151">
        <v>2</v>
      </c>
      <c r="R25" s="152">
        <v>3</v>
      </c>
      <c r="S25" s="150" t="str">
        <f>V18</f>
        <v>크로아티아</v>
      </c>
      <c r="T25" s="151" t="str">
        <f t="shared" si="5"/>
        <v>승</v>
      </c>
    </row>
    <row r="26" spans="2:30" ht="24.95" customHeight="1" x14ac:dyDescent="0.3">
      <c r="O26" s="19" t="str">
        <f t="shared" si="4"/>
        <v>승</v>
      </c>
      <c r="P26" s="6" t="str">
        <f>V17</f>
        <v>잉글랜드</v>
      </c>
      <c r="Q26" s="20">
        <v>2</v>
      </c>
      <c r="R26" s="12">
        <v>1</v>
      </c>
      <c r="S26" s="6" t="str">
        <f>V18</f>
        <v>크로아티아</v>
      </c>
      <c r="T26" s="13" t="str">
        <f t="shared" si="5"/>
        <v>패</v>
      </c>
    </row>
    <row r="27" spans="2:30" ht="24.95" customHeight="1" x14ac:dyDescent="0.3">
      <c r="O27" s="21" t="str">
        <f t="shared" si="4"/>
        <v>무</v>
      </c>
      <c r="P27" s="7" t="str">
        <f>V17</f>
        <v>잉글랜드</v>
      </c>
      <c r="Q27" s="22">
        <v>3</v>
      </c>
      <c r="R27" s="14">
        <v>3</v>
      </c>
      <c r="S27" s="7" t="str">
        <f>V18</f>
        <v>크로아티아</v>
      </c>
      <c r="T27" s="15" t="str">
        <f t="shared" si="5"/>
        <v>무</v>
      </c>
    </row>
  </sheetData>
  <mergeCells count="7">
    <mergeCell ref="O11:T11"/>
    <mergeCell ref="O20:T20"/>
    <mergeCell ref="D2:M2"/>
    <mergeCell ref="B4:B7"/>
    <mergeCell ref="B9:B12"/>
    <mergeCell ref="B14:B17"/>
    <mergeCell ref="O2:T2"/>
  </mergeCells>
  <phoneticPr fontId="8" type="noConversion"/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CF5F-70DB-4712-945D-9EAD0B33C863}">
  <dimension ref="C2:I19"/>
  <sheetViews>
    <sheetView zoomScale="130" zoomScaleNormal="130" workbookViewId="0">
      <selection activeCell="G19" sqref="G19"/>
    </sheetView>
  </sheetViews>
  <sheetFormatPr defaultRowHeight="15.7" x14ac:dyDescent="0.3"/>
  <cols>
    <col min="4" max="4" width="6" customWidth="1"/>
    <col min="5" max="7" width="16.625" customWidth="1"/>
    <col min="8" max="8" width="26" customWidth="1"/>
    <col min="9" max="9" width="30.25" customWidth="1"/>
  </cols>
  <sheetData>
    <row r="2" spans="3:9" ht="16.399999999999999" thickBot="1" x14ac:dyDescent="0.35"/>
    <row r="3" spans="3:9" s="82" customFormat="1" ht="33.5" customHeight="1" thickTop="1" x14ac:dyDescent="0.3">
      <c r="C3" s="102" t="s">
        <v>55</v>
      </c>
      <c r="D3" s="102">
        <v>1</v>
      </c>
      <c r="E3" s="130" t="s">
        <v>35</v>
      </c>
      <c r="F3" s="212" t="str">
        <f>E3</f>
        <v>뮌헨</v>
      </c>
      <c r="G3" s="216"/>
      <c r="H3" s="229"/>
      <c r="I3" s="207"/>
    </row>
    <row r="4" spans="3:9" s="82" customFormat="1" ht="33.5" customHeight="1" x14ac:dyDescent="0.3">
      <c r="C4" s="102"/>
      <c r="D4" s="102" t="s">
        <v>61</v>
      </c>
      <c r="E4" s="129" t="s">
        <v>61</v>
      </c>
      <c r="F4" s="213"/>
      <c r="G4" s="217"/>
      <c r="H4" s="230"/>
      <c r="I4" s="208"/>
    </row>
    <row r="5" spans="3:9" s="82" customFormat="1" ht="33.5" customHeight="1" x14ac:dyDescent="0.3">
      <c r="D5" s="102">
        <v>2</v>
      </c>
      <c r="E5" s="103" t="s">
        <v>39</v>
      </c>
      <c r="F5" s="214"/>
      <c r="G5" s="217"/>
      <c r="H5" s="230"/>
      <c r="I5" s="208"/>
    </row>
    <row r="6" spans="3:9" s="82" customFormat="1" ht="33.5" customHeight="1" thickBot="1" x14ac:dyDescent="0.35">
      <c r="D6" s="102">
        <v>3</v>
      </c>
      <c r="E6" s="104" t="s">
        <v>40</v>
      </c>
      <c r="F6" s="215"/>
      <c r="G6" s="218"/>
      <c r="H6" s="230"/>
      <c r="I6" s="208"/>
    </row>
    <row r="7" spans="3:9" s="82" customFormat="1" ht="33.5" customHeight="1" x14ac:dyDescent="0.3">
      <c r="D7" s="102">
        <v>4</v>
      </c>
      <c r="E7" s="105" t="s">
        <v>70</v>
      </c>
      <c r="F7" s="240"/>
      <c r="G7" s="219"/>
      <c r="H7" s="230"/>
      <c r="I7" s="208"/>
    </row>
    <row r="8" spans="3:9" s="82" customFormat="1" ht="33.5" customHeight="1" x14ac:dyDescent="0.3">
      <c r="D8" s="102">
        <v>5</v>
      </c>
      <c r="E8" s="106" t="s">
        <v>14</v>
      </c>
      <c r="F8" s="241"/>
      <c r="G8" s="220"/>
      <c r="H8" s="230"/>
      <c r="I8" s="208"/>
    </row>
    <row r="9" spans="3:9" s="82" customFormat="1" ht="33.5" customHeight="1" x14ac:dyDescent="0.3">
      <c r="D9" s="102">
        <v>6</v>
      </c>
      <c r="E9" s="107" t="s">
        <v>36</v>
      </c>
      <c r="F9" s="238" t="str">
        <f>E9</f>
        <v>레버쿠젠</v>
      </c>
      <c r="G9" s="220"/>
      <c r="H9" s="230"/>
      <c r="I9" s="208"/>
    </row>
    <row r="10" spans="3:9" s="82" customFormat="1" ht="33.5" customHeight="1" thickBot="1" x14ac:dyDescent="0.35">
      <c r="D10" s="102">
        <v>7</v>
      </c>
      <c r="E10" s="108" t="s">
        <v>51</v>
      </c>
      <c r="F10" s="239"/>
      <c r="G10" s="221"/>
      <c r="H10" s="231"/>
      <c r="I10" s="208"/>
    </row>
    <row r="11" spans="3:9" s="82" customFormat="1" ht="33.5" customHeight="1" thickTop="1" x14ac:dyDescent="0.3">
      <c r="D11" s="102">
        <v>8</v>
      </c>
      <c r="E11" s="127" t="s">
        <v>52</v>
      </c>
      <c r="F11" s="210" t="str">
        <f>E11</f>
        <v>도르트문트</v>
      </c>
      <c r="G11" s="222"/>
      <c r="H11" s="227"/>
      <c r="I11" s="208"/>
    </row>
    <row r="12" spans="3:9" s="82" customFormat="1" ht="33.5" customHeight="1" x14ac:dyDescent="0.3">
      <c r="D12" s="102" t="s">
        <v>61</v>
      </c>
      <c r="E12" s="128" t="s">
        <v>61</v>
      </c>
      <c r="F12" s="211"/>
      <c r="G12" s="222"/>
      <c r="H12" s="227"/>
      <c r="I12" s="208"/>
    </row>
    <row r="13" spans="3:9" s="82" customFormat="1" ht="33.5" customHeight="1" x14ac:dyDescent="0.3">
      <c r="D13" s="102">
        <v>9</v>
      </c>
      <c r="E13" s="109" t="s">
        <v>53</v>
      </c>
      <c r="F13" s="236"/>
      <c r="G13" s="222"/>
      <c r="H13" s="227"/>
      <c r="I13" s="208"/>
    </row>
    <row r="14" spans="3:9" s="82" customFormat="1" ht="33.5" customHeight="1" thickBot="1" x14ac:dyDescent="0.35">
      <c r="D14" s="102">
        <v>10</v>
      </c>
      <c r="E14" s="110" t="s">
        <v>37</v>
      </c>
      <c r="F14" s="237"/>
      <c r="G14" s="223"/>
      <c r="H14" s="227"/>
      <c r="I14" s="208"/>
    </row>
    <row r="15" spans="3:9" s="82" customFormat="1" ht="33.5" customHeight="1" x14ac:dyDescent="0.3">
      <c r="D15" s="102">
        <v>11</v>
      </c>
      <c r="E15" s="111" t="s">
        <v>38</v>
      </c>
      <c r="F15" s="234" t="str">
        <f>E16</f>
        <v>비야레알</v>
      </c>
      <c r="G15" s="224" t="str">
        <f>F15</f>
        <v>비야레알</v>
      </c>
      <c r="H15" s="227"/>
      <c r="I15" s="208"/>
    </row>
    <row r="16" spans="3:9" s="82" customFormat="1" ht="33.5" customHeight="1" x14ac:dyDescent="0.3">
      <c r="D16" s="102">
        <v>12</v>
      </c>
      <c r="E16" s="112" t="s">
        <v>54</v>
      </c>
      <c r="F16" s="235"/>
      <c r="G16" s="225"/>
      <c r="H16" s="227"/>
      <c r="I16" s="208"/>
    </row>
    <row r="17" spans="4:9" s="82" customFormat="1" ht="33.5" customHeight="1" x14ac:dyDescent="0.3">
      <c r="D17" s="102">
        <v>13</v>
      </c>
      <c r="E17" s="113" t="s">
        <v>33</v>
      </c>
      <c r="F17" s="232" t="str">
        <f>E17</f>
        <v>토트넘</v>
      </c>
      <c r="G17" s="225"/>
      <c r="H17" s="227"/>
      <c r="I17" s="208"/>
    </row>
    <row r="18" spans="4:9" s="82" customFormat="1" ht="33.5" customHeight="1" thickBot="1" x14ac:dyDescent="0.35">
      <c r="D18" s="102">
        <v>14</v>
      </c>
      <c r="E18" s="114" t="s">
        <v>34</v>
      </c>
      <c r="F18" s="233"/>
      <c r="G18" s="226"/>
      <c r="H18" s="228"/>
      <c r="I18" s="209"/>
    </row>
    <row r="19" spans="4:9" ht="16.399999999999999" thickTop="1" x14ac:dyDescent="0.3"/>
  </sheetData>
  <mergeCells count="15">
    <mergeCell ref="I3:I18"/>
    <mergeCell ref="F11:F12"/>
    <mergeCell ref="F3:F4"/>
    <mergeCell ref="F5:F6"/>
    <mergeCell ref="G3:G6"/>
    <mergeCell ref="G7:G10"/>
    <mergeCell ref="G11:G14"/>
    <mergeCell ref="G15:G18"/>
    <mergeCell ref="H11:H18"/>
    <mergeCell ref="H3:H10"/>
    <mergeCell ref="F17:F18"/>
    <mergeCell ref="F15:F16"/>
    <mergeCell ref="F13:F14"/>
    <mergeCell ref="F9:F10"/>
    <mergeCell ref="F7:F8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내경기 진행상황</vt:lpstr>
      <vt:lpstr>1부리그</vt:lpstr>
      <vt:lpstr>Sheet2</vt:lpstr>
      <vt:lpstr>리그테이블 DB</vt:lpstr>
      <vt:lpstr>2부리그</vt:lpstr>
      <vt:lpstr>월드컵</vt:lpstr>
      <vt:lpstr>유로</vt:lpstr>
      <vt:lpstr>FA CUP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원영 송</dc:creator>
  <cp:lastModifiedBy>원영 송</cp:lastModifiedBy>
  <dcterms:created xsi:type="dcterms:W3CDTF">2026-02-03T11:00:08Z</dcterms:created>
  <dcterms:modified xsi:type="dcterms:W3CDTF">2026-03-29T16:33:31Z</dcterms:modified>
</cp:coreProperties>
</file>