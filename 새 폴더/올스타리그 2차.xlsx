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올스타리그 자동화\"/>
    </mc:Choice>
  </mc:AlternateContent>
  <xr:revisionPtr revIDLastSave="0" documentId="13_ncr:1_{96CAF811-EC9B-4D1D-A3AF-4684938E9665}" xr6:coauthVersionLast="47" xr6:coauthVersionMax="47" xr10:uidLastSave="{00000000-0000-0000-0000-000000000000}"/>
  <bookViews>
    <workbookView xWindow="-114" yWindow="-114" windowWidth="36727" windowHeight="20317" activeTab="1" xr2:uid="{6BFAF7FA-D755-4D26-B6F4-27E06D787CC2}"/>
  </bookViews>
  <sheets>
    <sheet name="내경기 진행상황" sheetId="1" r:id="rId1"/>
    <sheet name="1부리그" sheetId="7" r:id="rId2"/>
    <sheet name="2부리그" sheetId="3" r:id="rId3"/>
    <sheet name="리그테이블 DB" sheetId="6" state="hidden" r:id="rId4"/>
    <sheet name="UCL" sheetId="4" r:id="rId5"/>
    <sheet name="UCL토너먼트" sheetId="9" r:id="rId6"/>
    <sheet name="FA CUP" sheetId="8" r:id="rId7"/>
  </sheets>
  <definedNames>
    <definedName name="슬라이서_상대팀">#N/A</definedName>
    <definedName name="슬라이서_상대팀1">#N/A</definedName>
    <definedName name="슬라이서_팀">#N/A</definedName>
    <definedName name="슬라이서_팀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" l="1"/>
  <c r="F15" i="9"/>
  <c r="F7" i="9"/>
  <c r="F5" i="8"/>
  <c r="G11" i="8"/>
  <c r="G7" i="8"/>
  <c r="F13" i="8"/>
  <c r="F7" i="8"/>
  <c r="G15" i="8"/>
  <c r="F17" i="8"/>
  <c r="F15" i="8"/>
  <c r="F11" i="8"/>
  <c r="F9" i="8"/>
  <c r="F3" i="8"/>
  <c r="X49" i="4"/>
  <c r="Y49" i="4"/>
  <c r="Z49" i="4"/>
  <c r="AA49" i="4"/>
  <c r="S62" i="4"/>
  <c r="P62" i="4"/>
  <c r="O62" i="4"/>
  <c r="T62" i="4" s="1"/>
  <c r="S61" i="4"/>
  <c r="P61" i="4"/>
  <c r="O61" i="4"/>
  <c r="T61" i="4" s="1"/>
  <c r="S60" i="4"/>
  <c r="P60" i="4"/>
  <c r="O60" i="4"/>
  <c r="T60" i="4" s="1"/>
  <c r="S59" i="4"/>
  <c r="P59" i="4"/>
  <c r="O59" i="4"/>
  <c r="T59" i="4" s="1"/>
  <c r="S58" i="4"/>
  <c r="P58" i="4"/>
  <c r="O58" i="4"/>
  <c r="S57" i="4"/>
  <c r="P57" i="4"/>
  <c r="O57" i="4"/>
  <c r="T57" i="4" s="1"/>
  <c r="F5" i="1" s="1"/>
  <c r="J9" i="6"/>
  <c r="I9" i="6"/>
  <c r="J8" i="6"/>
  <c r="I8" i="6"/>
  <c r="J7" i="6"/>
  <c r="I7" i="6"/>
  <c r="J6" i="6"/>
  <c r="I6" i="6"/>
  <c r="J5" i="6"/>
  <c r="I5" i="6"/>
  <c r="J4" i="6"/>
  <c r="I4" i="6"/>
  <c r="Q70" i="7"/>
  <c r="Q68" i="7"/>
  <c r="Q66" i="7"/>
  <c r="Q64" i="7"/>
  <c r="Q62" i="7"/>
  <c r="Q69" i="7"/>
  <c r="Q67" i="7"/>
  <c r="Q65" i="7"/>
  <c r="Q63" i="7"/>
  <c r="Q61" i="7"/>
  <c r="Q60" i="7"/>
  <c r="Q58" i="7"/>
  <c r="Q56" i="7"/>
  <c r="Q54" i="7"/>
  <c r="Q52" i="7"/>
  <c r="Q59" i="7"/>
  <c r="Q57" i="7"/>
  <c r="Q55" i="7"/>
  <c r="Q53" i="7"/>
  <c r="Q51" i="7"/>
  <c r="Q20" i="7"/>
  <c r="C14" i="1" s="1"/>
  <c r="Q18" i="7"/>
  <c r="C12" i="1" s="1"/>
  <c r="Q16" i="7"/>
  <c r="C10" i="1" s="1"/>
  <c r="Q14" i="7"/>
  <c r="C8" i="1" s="1"/>
  <c r="Q12" i="7"/>
  <c r="C6" i="1" s="1"/>
  <c r="Q19" i="7"/>
  <c r="C13" i="1" s="1"/>
  <c r="Q17" i="7"/>
  <c r="C11" i="1" s="1"/>
  <c r="Q15" i="7"/>
  <c r="C9" i="1" s="1"/>
  <c r="Q13" i="7"/>
  <c r="C7" i="1" s="1"/>
  <c r="Q11" i="7"/>
  <c r="C5" i="1" s="1"/>
  <c r="Q40" i="7"/>
  <c r="Q38" i="7"/>
  <c r="Q36" i="7"/>
  <c r="Q34" i="7"/>
  <c r="Q32" i="7"/>
  <c r="Q39" i="7"/>
  <c r="Q37" i="7"/>
  <c r="Q35" i="7"/>
  <c r="Q33" i="7"/>
  <c r="Q31" i="7"/>
  <c r="Q30" i="7"/>
  <c r="Q28" i="7"/>
  <c r="Q26" i="7"/>
  <c r="Q24" i="7"/>
  <c r="Q22" i="7"/>
  <c r="Q29" i="7"/>
  <c r="Q27" i="7"/>
  <c r="Q25" i="7"/>
  <c r="Q23" i="7"/>
  <c r="Q21" i="7"/>
  <c r="Q50" i="7"/>
  <c r="Q48" i="7"/>
  <c r="Q46" i="7"/>
  <c r="Q44" i="7"/>
  <c r="Q42" i="7"/>
  <c r="Q49" i="7"/>
  <c r="Q47" i="7"/>
  <c r="Q45" i="7"/>
  <c r="Q43" i="7"/>
  <c r="Q41" i="7"/>
  <c r="Q194" i="3"/>
  <c r="Q192" i="3"/>
  <c r="Q190" i="3"/>
  <c r="Q188" i="3"/>
  <c r="Q186" i="3"/>
  <c r="Q184" i="3"/>
  <c r="Q182" i="3"/>
  <c r="Q180" i="3"/>
  <c r="Q178" i="3"/>
  <c r="Q193" i="3"/>
  <c r="Q191" i="3"/>
  <c r="Q189" i="3"/>
  <c r="Q187" i="3"/>
  <c r="Q185" i="3"/>
  <c r="Q183" i="3"/>
  <c r="Q181" i="3"/>
  <c r="Q179" i="3"/>
  <c r="Q177" i="3"/>
  <c r="Q176" i="3"/>
  <c r="Q174" i="3"/>
  <c r="Q172" i="3"/>
  <c r="Q170" i="3"/>
  <c r="Q168" i="3"/>
  <c r="Q166" i="3"/>
  <c r="Q164" i="3"/>
  <c r="Q162" i="3"/>
  <c r="Q160" i="3"/>
  <c r="Q175" i="3"/>
  <c r="Q173" i="3"/>
  <c r="Q171" i="3"/>
  <c r="Q169" i="3"/>
  <c r="Q167" i="3"/>
  <c r="Q165" i="3"/>
  <c r="Q163" i="3"/>
  <c r="Q161" i="3"/>
  <c r="Q159" i="3"/>
  <c r="Q158" i="3"/>
  <c r="Q156" i="3"/>
  <c r="Q154" i="3"/>
  <c r="Q152" i="3"/>
  <c r="Q150" i="3"/>
  <c r="Q148" i="3"/>
  <c r="Q146" i="3"/>
  <c r="Q144" i="3"/>
  <c r="Q142" i="3"/>
  <c r="Q157" i="3"/>
  <c r="Q155" i="3"/>
  <c r="Q153" i="3"/>
  <c r="Q151" i="3"/>
  <c r="Q149" i="3"/>
  <c r="Q147" i="3"/>
  <c r="Q145" i="3"/>
  <c r="Q143" i="3"/>
  <c r="Q141" i="3"/>
  <c r="Q140" i="3"/>
  <c r="Q138" i="3"/>
  <c r="Q136" i="3"/>
  <c r="Q134" i="3"/>
  <c r="Q132" i="3"/>
  <c r="Q130" i="3"/>
  <c r="Q128" i="3"/>
  <c r="Q126" i="3"/>
  <c r="Q124" i="3"/>
  <c r="Q139" i="3"/>
  <c r="Q137" i="3"/>
  <c r="Q135" i="3"/>
  <c r="Q133" i="3"/>
  <c r="Q131" i="3"/>
  <c r="Q129" i="3"/>
  <c r="Q127" i="3"/>
  <c r="Q125" i="3"/>
  <c r="Q123" i="3"/>
  <c r="Q122" i="3"/>
  <c r="Q120" i="3"/>
  <c r="Q118" i="3"/>
  <c r="Q116" i="3"/>
  <c r="Q114" i="3"/>
  <c r="Q112" i="3"/>
  <c r="Q110" i="3"/>
  <c r="Q108" i="3"/>
  <c r="Q106" i="3"/>
  <c r="Q121" i="3"/>
  <c r="Q119" i="3"/>
  <c r="Q117" i="3"/>
  <c r="Q115" i="3"/>
  <c r="Q113" i="3"/>
  <c r="Q111" i="3"/>
  <c r="Q109" i="3"/>
  <c r="Q107" i="3"/>
  <c r="Q105" i="3"/>
  <c r="Q104" i="3"/>
  <c r="Q102" i="3"/>
  <c r="Q100" i="3"/>
  <c r="Q98" i="3"/>
  <c r="Q96" i="3"/>
  <c r="Q94" i="3"/>
  <c r="Q92" i="3"/>
  <c r="Q90" i="3"/>
  <c r="Q88" i="3"/>
  <c r="Q103" i="3"/>
  <c r="Q101" i="3"/>
  <c r="Q99" i="3"/>
  <c r="Q97" i="3"/>
  <c r="Q95" i="3"/>
  <c r="Q93" i="3"/>
  <c r="Q91" i="3"/>
  <c r="Q89" i="3"/>
  <c r="Q87" i="3"/>
  <c r="Q86" i="3"/>
  <c r="Q84" i="3"/>
  <c r="Q82" i="3"/>
  <c r="Q80" i="3"/>
  <c r="Q78" i="3"/>
  <c r="Q76" i="3"/>
  <c r="Q74" i="3"/>
  <c r="Q72" i="3"/>
  <c r="Q70" i="3"/>
  <c r="Q85" i="3"/>
  <c r="Q83" i="3"/>
  <c r="Q81" i="3"/>
  <c r="Q79" i="3"/>
  <c r="Q77" i="3"/>
  <c r="Q75" i="3"/>
  <c r="Q73" i="3"/>
  <c r="Q71" i="3"/>
  <c r="Q69" i="3"/>
  <c r="Q68" i="3"/>
  <c r="Q66" i="3"/>
  <c r="Q64" i="3"/>
  <c r="Q62" i="3"/>
  <c r="Q60" i="3"/>
  <c r="Q58" i="3"/>
  <c r="Q56" i="3"/>
  <c r="Q54" i="3"/>
  <c r="Q52" i="3"/>
  <c r="Q67" i="3"/>
  <c r="Q65" i="3"/>
  <c r="Q63" i="3"/>
  <c r="Q61" i="3"/>
  <c r="Q59" i="3"/>
  <c r="Q57" i="3"/>
  <c r="Q55" i="3"/>
  <c r="Q53" i="3"/>
  <c r="Q51" i="3"/>
  <c r="Q50" i="3"/>
  <c r="Q48" i="3"/>
  <c r="Q46" i="3"/>
  <c r="Q44" i="3"/>
  <c r="Q42" i="3"/>
  <c r="Q40" i="3"/>
  <c r="Q38" i="3"/>
  <c r="Q36" i="3"/>
  <c r="Q34" i="3"/>
  <c r="Q49" i="3"/>
  <c r="Q47" i="3"/>
  <c r="Q45" i="3"/>
  <c r="Q43" i="3"/>
  <c r="Q41" i="3"/>
  <c r="Q39" i="3"/>
  <c r="Q37" i="3"/>
  <c r="Q35" i="3"/>
  <c r="Q33" i="3"/>
  <c r="Q32" i="3"/>
  <c r="Q30" i="3"/>
  <c r="Q28" i="3"/>
  <c r="Q26" i="3"/>
  <c r="Q24" i="3"/>
  <c r="Q22" i="3"/>
  <c r="Q20" i="3"/>
  <c r="Q18" i="3"/>
  <c r="Q16" i="3"/>
  <c r="Q31" i="3"/>
  <c r="Q29" i="3"/>
  <c r="Q27" i="3"/>
  <c r="Q25" i="3"/>
  <c r="Q23" i="3"/>
  <c r="Q21" i="3"/>
  <c r="Q19" i="3"/>
  <c r="Q17" i="3"/>
  <c r="Q15" i="3"/>
  <c r="T9" i="6"/>
  <c r="T4" i="6"/>
  <c r="T5" i="6"/>
  <c r="T7" i="6"/>
  <c r="T12" i="6"/>
  <c r="T6" i="6"/>
  <c r="T13" i="6"/>
  <c r="T11" i="6"/>
  <c r="T8" i="6"/>
  <c r="T10" i="6"/>
  <c r="S9" i="6"/>
  <c r="S4" i="6"/>
  <c r="S5" i="6"/>
  <c r="S7" i="6"/>
  <c r="S12" i="6"/>
  <c r="S6" i="6"/>
  <c r="S13" i="6"/>
  <c r="S11" i="6"/>
  <c r="S8" i="6"/>
  <c r="S10" i="6"/>
  <c r="S38" i="4"/>
  <c r="P38" i="4"/>
  <c r="O38" i="4"/>
  <c r="T38" i="4" s="1"/>
  <c r="S37" i="4"/>
  <c r="P37" i="4"/>
  <c r="O37" i="4"/>
  <c r="T37" i="4" s="1"/>
  <c r="S36" i="4"/>
  <c r="P36" i="4"/>
  <c r="O36" i="4"/>
  <c r="T36" i="4" s="1"/>
  <c r="S35" i="4"/>
  <c r="P35" i="4"/>
  <c r="O35" i="4"/>
  <c r="T35" i="4" s="1"/>
  <c r="S34" i="4"/>
  <c r="P34" i="4"/>
  <c r="O34" i="4"/>
  <c r="T34" i="4" s="1"/>
  <c r="S33" i="4"/>
  <c r="P33" i="4"/>
  <c r="O33" i="4"/>
  <c r="T33" i="4" s="1"/>
  <c r="S32" i="4"/>
  <c r="P32" i="4"/>
  <c r="O32" i="4"/>
  <c r="T32" i="4" s="1"/>
  <c r="S31" i="4"/>
  <c r="P31" i="4"/>
  <c r="O31" i="4"/>
  <c r="T31" i="4" s="1"/>
  <c r="S30" i="4"/>
  <c r="P30" i="4"/>
  <c r="O30" i="4"/>
  <c r="T30" i="4" s="1"/>
  <c r="S29" i="4"/>
  <c r="P29" i="4"/>
  <c r="O29" i="4"/>
  <c r="T29" i="4" s="1"/>
  <c r="S28" i="4"/>
  <c r="P28" i="4"/>
  <c r="O28" i="4"/>
  <c r="T28" i="4" s="1"/>
  <c r="S27" i="4"/>
  <c r="P27" i="4"/>
  <c r="O27" i="4"/>
  <c r="T27" i="4" s="1"/>
  <c r="S71" i="4"/>
  <c r="P71" i="4"/>
  <c r="O71" i="4"/>
  <c r="T71" i="4" s="1"/>
  <c r="S70" i="4"/>
  <c r="P70" i="4"/>
  <c r="O70" i="4"/>
  <c r="T70" i="4" s="1"/>
  <c r="S69" i="4"/>
  <c r="P69" i="4"/>
  <c r="O69" i="4"/>
  <c r="T69" i="4" s="1"/>
  <c r="S68" i="4"/>
  <c r="P68" i="4"/>
  <c r="O68" i="4"/>
  <c r="T68" i="4" s="1"/>
  <c r="S67" i="4"/>
  <c r="P67" i="4"/>
  <c r="O67" i="4"/>
  <c r="T67" i="4" s="1"/>
  <c r="S66" i="4"/>
  <c r="P66" i="4"/>
  <c r="O66" i="4"/>
  <c r="T66" i="4" s="1"/>
  <c r="S53" i="4"/>
  <c r="P53" i="4"/>
  <c r="O53" i="4"/>
  <c r="T53" i="4" s="1"/>
  <c r="S52" i="4"/>
  <c r="P52" i="4"/>
  <c r="O52" i="4"/>
  <c r="T52" i="4" s="1"/>
  <c r="S51" i="4"/>
  <c r="P51" i="4"/>
  <c r="O51" i="4"/>
  <c r="T51" i="4" s="1"/>
  <c r="S50" i="4"/>
  <c r="P50" i="4"/>
  <c r="O50" i="4"/>
  <c r="T50" i="4" s="1"/>
  <c r="S49" i="4"/>
  <c r="P49" i="4"/>
  <c r="O49" i="4"/>
  <c r="T49" i="4" s="1"/>
  <c r="S48" i="4"/>
  <c r="P48" i="4"/>
  <c r="O48" i="4"/>
  <c r="T48" i="4" s="1"/>
  <c r="S47" i="4"/>
  <c r="P47" i="4"/>
  <c r="O47" i="4"/>
  <c r="T47" i="4" s="1"/>
  <c r="S46" i="4"/>
  <c r="P46" i="4"/>
  <c r="O46" i="4"/>
  <c r="T46" i="4" s="1"/>
  <c r="S45" i="4"/>
  <c r="P45" i="4"/>
  <c r="O45" i="4"/>
  <c r="T45" i="4" s="1"/>
  <c r="S44" i="4"/>
  <c r="P44" i="4"/>
  <c r="O44" i="4"/>
  <c r="T44" i="4" s="1"/>
  <c r="S43" i="4"/>
  <c r="P43" i="4"/>
  <c r="O43" i="4"/>
  <c r="T43" i="4" s="1"/>
  <c r="S42" i="4"/>
  <c r="P42" i="4"/>
  <c r="O42" i="4"/>
  <c r="T42" i="4" s="1"/>
  <c r="K9" i="6" l="1"/>
  <c r="H9" i="6"/>
  <c r="W49" i="4"/>
  <c r="AB43" i="4"/>
  <c r="G9" i="6"/>
  <c r="F6" i="6"/>
  <c r="G8" i="6"/>
  <c r="AB41" i="4"/>
  <c r="AA41" i="4"/>
  <c r="AA42" i="4"/>
  <c r="K8" i="6"/>
  <c r="F6" i="1"/>
  <c r="G6" i="1"/>
  <c r="F5" i="6"/>
  <c r="H4" i="6"/>
  <c r="H8" i="6"/>
  <c r="G5" i="6"/>
  <c r="H7" i="6"/>
  <c r="H6" i="6"/>
  <c r="AB42" i="4"/>
  <c r="AA43" i="4"/>
  <c r="T58" i="4"/>
  <c r="G5" i="1" s="1"/>
  <c r="H5" i="6"/>
  <c r="F8" i="6"/>
  <c r="G6" i="6"/>
  <c r="F4" i="6"/>
  <c r="G4" i="6"/>
  <c r="F9" i="6"/>
  <c r="F7" i="6"/>
  <c r="G7" i="6"/>
  <c r="K4" i="6"/>
  <c r="K7" i="6"/>
  <c r="K5" i="6"/>
  <c r="K6" i="6"/>
  <c r="P10" i="6"/>
  <c r="P11" i="6"/>
  <c r="Q8" i="6"/>
  <c r="P13" i="6"/>
  <c r="P12" i="6"/>
  <c r="P4" i="6"/>
  <c r="P6" i="6"/>
  <c r="P5" i="6"/>
  <c r="P8" i="6"/>
  <c r="P7" i="6"/>
  <c r="Q9" i="6"/>
  <c r="Q11" i="6"/>
  <c r="P9" i="6"/>
  <c r="R10" i="6"/>
  <c r="Q10" i="6"/>
  <c r="R8" i="6"/>
  <c r="R11" i="6"/>
  <c r="R13" i="6"/>
  <c r="Q13" i="6"/>
  <c r="R6" i="6"/>
  <c r="Q6" i="6"/>
  <c r="R12" i="6"/>
  <c r="Q12" i="6"/>
  <c r="R7" i="6"/>
  <c r="Q7" i="6"/>
  <c r="R5" i="6"/>
  <c r="Q5" i="6"/>
  <c r="R4" i="6"/>
  <c r="Q4" i="6"/>
  <c r="R9" i="6"/>
  <c r="U11" i="6"/>
  <c r="U13" i="6"/>
  <c r="U6" i="6"/>
  <c r="U12" i="6"/>
  <c r="U7" i="6"/>
  <c r="U5" i="6"/>
  <c r="U4" i="6"/>
  <c r="U9" i="6"/>
  <c r="U8" i="6"/>
  <c r="U10" i="6"/>
  <c r="AB47" i="4"/>
  <c r="AA47" i="4"/>
  <c r="AB35" i="4"/>
  <c r="AA35" i="4"/>
  <c r="AB34" i="4"/>
  <c r="AA34" i="4"/>
  <c r="AB49" i="4"/>
  <c r="AA48" i="4"/>
  <c r="AB48" i="4"/>
  <c r="AB37" i="4"/>
  <c r="AA37" i="4"/>
  <c r="AB36" i="4"/>
  <c r="AA36" i="4"/>
  <c r="AB29" i="4"/>
  <c r="AA30" i="4"/>
  <c r="AB30" i="4"/>
  <c r="AA27" i="4"/>
  <c r="AB27" i="4"/>
  <c r="AA28" i="4"/>
  <c r="AB28" i="4"/>
  <c r="AA29" i="4"/>
  <c r="X47" i="4"/>
  <c r="Y47" i="4"/>
  <c r="Z47" i="4"/>
  <c r="X48" i="4"/>
  <c r="Y48" i="4"/>
  <c r="Z48" i="4"/>
  <c r="Z34" i="4"/>
  <c r="X36" i="4"/>
  <c r="X37" i="4"/>
  <c r="Y35" i="4"/>
  <c r="Z35" i="4"/>
  <c r="X35" i="4"/>
  <c r="Y36" i="4"/>
  <c r="X34" i="4"/>
  <c r="Z37" i="4"/>
  <c r="Y37" i="4"/>
  <c r="Y34" i="4"/>
  <c r="Z36" i="4"/>
  <c r="Y28" i="4"/>
  <c r="X27" i="4"/>
  <c r="Z29" i="4"/>
  <c r="X30" i="4"/>
  <c r="Y30" i="4"/>
  <c r="Y27" i="4"/>
  <c r="Y29" i="4"/>
  <c r="Z27" i="4"/>
  <c r="X29" i="4"/>
  <c r="Z28" i="4"/>
  <c r="X28" i="4"/>
  <c r="Z30" i="4"/>
  <c r="AC41" i="4" l="1"/>
  <c r="AC43" i="4"/>
  <c r="Y42" i="4"/>
  <c r="Y43" i="4"/>
  <c r="Z41" i="4"/>
  <c r="X43" i="4"/>
  <c r="Y41" i="4"/>
  <c r="X41" i="4"/>
  <c r="Z42" i="4"/>
  <c r="X42" i="4"/>
  <c r="Z43" i="4"/>
  <c r="E8" i="6"/>
  <c r="AC42" i="4"/>
  <c r="D5" i="6"/>
  <c r="E5" i="6"/>
  <c r="D4" i="6"/>
  <c r="E6" i="6"/>
  <c r="D6" i="6"/>
  <c r="E4" i="6"/>
  <c r="E7" i="6"/>
  <c r="E9" i="6"/>
  <c r="D7" i="6"/>
  <c r="D9" i="6"/>
  <c r="D8" i="6"/>
  <c r="O9" i="6"/>
  <c r="N9" i="6"/>
  <c r="O5" i="6"/>
  <c r="N5" i="6"/>
  <c r="O4" i="6"/>
  <c r="N4" i="6"/>
  <c r="O13" i="6"/>
  <c r="N13" i="6"/>
  <c r="O7" i="6"/>
  <c r="N7" i="6"/>
  <c r="O11" i="6"/>
  <c r="N11" i="6"/>
  <c r="O6" i="6"/>
  <c r="N6" i="6"/>
  <c r="O8" i="6"/>
  <c r="N8" i="6"/>
  <c r="O12" i="6"/>
  <c r="N12" i="6"/>
  <c r="O10" i="6"/>
  <c r="N10" i="6"/>
  <c r="AC47" i="4"/>
  <c r="AC34" i="4"/>
  <c r="AC49" i="4"/>
  <c r="AC35" i="4"/>
  <c r="AC29" i="4"/>
  <c r="AC36" i="4"/>
  <c r="AC48" i="4"/>
  <c r="AC30" i="4"/>
  <c r="AC37" i="4"/>
  <c r="AC27" i="4"/>
  <c r="AC28" i="4"/>
  <c r="AD47" i="4"/>
  <c r="W47" i="4"/>
  <c r="AD48" i="4"/>
  <c r="W48" i="4"/>
  <c r="AD49" i="4"/>
  <c r="AD36" i="4"/>
  <c r="W36" i="4"/>
  <c r="AD37" i="4"/>
  <c r="W37" i="4"/>
  <c r="W35" i="4"/>
  <c r="AD35" i="4"/>
  <c r="AD34" i="4"/>
  <c r="W34" i="4"/>
  <c r="W27" i="4"/>
  <c r="AD27" i="4"/>
  <c r="AD30" i="4"/>
  <c r="W30" i="4"/>
  <c r="W29" i="4"/>
  <c r="AD29" i="4"/>
  <c r="AD28" i="4"/>
  <c r="W28" i="4"/>
  <c r="W42" i="4" l="1"/>
  <c r="W41" i="4"/>
  <c r="W43" i="4"/>
  <c r="AD43" i="4"/>
  <c r="AD41" i="4"/>
  <c r="AD42" i="4"/>
  <c r="C3" i="7" a="1"/>
  <c r="E17" i="4" a="1"/>
  <c r="E17" i="4" s="1"/>
  <c r="E5" i="4" a="1"/>
  <c r="E5" i="4" s="1"/>
  <c r="C3" i="3" a="1"/>
  <c r="E22" i="4" a="1"/>
  <c r="E11" i="4" a="1"/>
  <c r="N3" i="7" l="1"/>
  <c r="N8" i="7"/>
  <c r="N7" i="7"/>
  <c r="N6" i="7"/>
  <c r="N5" i="7"/>
  <c r="N4" i="7"/>
  <c r="N12" i="3"/>
  <c r="N11" i="3"/>
  <c r="N10" i="3"/>
  <c r="N9" i="3"/>
  <c r="N8" i="3"/>
  <c r="N7" i="3"/>
  <c r="N6" i="3"/>
  <c r="N5" i="3"/>
  <c r="N4" i="3"/>
  <c r="N3" i="3"/>
  <c r="C3" i="7"/>
  <c r="M12" i="3"/>
  <c r="M11" i="3"/>
  <c r="M10" i="3"/>
  <c r="M9" i="3"/>
  <c r="M8" i="3"/>
  <c r="M7" i="3"/>
  <c r="M6" i="3"/>
  <c r="M5" i="3"/>
  <c r="M4" i="3"/>
  <c r="M3" i="3"/>
  <c r="M8" i="7"/>
  <c r="M7" i="7"/>
  <c r="M3" i="7"/>
  <c r="M4" i="7"/>
  <c r="M5" i="7"/>
  <c r="M6" i="7"/>
  <c r="C3" i="3"/>
  <c r="E22" i="4"/>
  <c r="E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<sst xmlns="http://schemas.openxmlformats.org/spreadsheetml/2006/main" count="753" uniqueCount="88">
  <si>
    <t>☆ 챔피언스 리그 ☆</t>
  </si>
  <si>
    <t>무</t>
  </si>
  <si>
    <t>무</t>
    <phoneticPr fontId="10" type="noConversion"/>
  </si>
  <si>
    <t>승</t>
  </si>
  <si>
    <t>승</t>
    <phoneticPr fontId="10" type="noConversion"/>
  </si>
  <si>
    <t>팀명</t>
    <phoneticPr fontId="10" type="noConversion"/>
  </si>
  <si>
    <t>☆ FA컵 ☆</t>
    <phoneticPr fontId="10" type="noConversion"/>
  </si>
  <si>
    <t>1경기</t>
    <phoneticPr fontId="10" type="noConversion"/>
  </si>
  <si>
    <t>2경기</t>
    <phoneticPr fontId="10" type="noConversion"/>
  </si>
  <si>
    <t>패</t>
  </si>
  <si>
    <t>패</t>
    <phoneticPr fontId="10" type="noConversion"/>
  </si>
  <si>
    <t>인테르</t>
  </si>
  <si>
    <t>뮌헨</t>
  </si>
  <si>
    <t>첼시</t>
  </si>
  <si>
    <t>레버쿠젠</t>
  </si>
  <si>
    <t>토트넘</t>
  </si>
  <si>
    <t>PSV</t>
  </si>
  <si>
    <t>ATM</t>
  </si>
  <si>
    <t>인테르</t>
    <phoneticPr fontId="10" type="noConversion"/>
  </si>
  <si>
    <t>팀1 결과</t>
    <phoneticPr fontId="10" type="noConversion"/>
  </si>
  <si>
    <t>팀1</t>
    <phoneticPr fontId="10" type="noConversion"/>
  </si>
  <si>
    <t>팀1 S</t>
    <phoneticPr fontId="10" type="noConversion"/>
  </si>
  <si>
    <t>팀2 S</t>
    <phoneticPr fontId="10" type="noConversion"/>
  </si>
  <si>
    <t>팀2</t>
    <phoneticPr fontId="10" type="noConversion"/>
  </si>
  <si>
    <t>팀2 결과</t>
    <phoneticPr fontId="10" type="noConversion"/>
  </si>
  <si>
    <t>득점</t>
  </si>
  <si>
    <t>득점</t>
    <phoneticPr fontId="10" type="noConversion"/>
  </si>
  <si>
    <t>실점</t>
  </si>
  <si>
    <t>실점</t>
    <phoneticPr fontId="10" type="noConversion"/>
  </si>
  <si>
    <t>득실</t>
  </si>
  <si>
    <t>득실</t>
    <phoneticPr fontId="10" type="noConversion"/>
  </si>
  <si>
    <t>승점점수</t>
  </si>
  <si>
    <t>경기</t>
  </si>
  <si>
    <t>경기</t>
    <phoneticPr fontId="10" type="noConversion"/>
  </si>
  <si>
    <t>팀</t>
  </si>
  <si>
    <t>순위</t>
    <phoneticPr fontId="10" type="noConversion"/>
  </si>
  <si>
    <t>승 점</t>
    <phoneticPr fontId="10" type="noConversion"/>
  </si>
  <si>
    <t>토트넘</t>
    <phoneticPr fontId="10" type="noConversion"/>
  </si>
  <si>
    <t>첼시</t>
    <phoneticPr fontId="10" type="noConversion"/>
  </si>
  <si>
    <t>뮌헨</t>
    <phoneticPr fontId="10" type="noConversion"/>
  </si>
  <si>
    <t>레버쿠젠</t>
    <phoneticPr fontId="10" type="noConversion"/>
  </si>
  <si>
    <t>PSV</t>
    <phoneticPr fontId="10" type="noConversion"/>
  </si>
  <si>
    <t>ATM</t>
    <phoneticPr fontId="10" type="noConversion"/>
  </si>
  <si>
    <t>뉴캐슬</t>
    <phoneticPr fontId="10" type="noConversion"/>
  </si>
  <si>
    <t>맨유</t>
    <phoneticPr fontId="10" type="noConversion"/>
  </si>
  <si>
    <t>R</t>
    <phoneticPr fontId="10" type="noConversion"/>
  </si>
  <si>
    <r>
      <rPr>
        <sz val="10"/>
        <color theme="1"/>
        <rFont val="맑은 고딕"/>
        <family val="2"/>
        <charset val="129"/>
      </rPr>
      <t>경기당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승점</t>
    </r>
    <phoneticPr fontId="10" type="noConversion"/>
  </si>
  <si>
    <t>뉴캐슬</t>
  </si>
  <si>
    <t>맨유</t>
  </si>
  <si>
    <t>최대 승점</t>
    <phoneticPr fontId="10" type="noConversion"/>
  </si>
  <si>
    <t>결과</t>
    <phoneticPr fontId="10" type="noConversion"/>
  </si>
  <si>
    <t>NO</t>
    <phoneticPr fontId="10" type="noConversion"/>
  </si>
  <si>
    <t>팀</t>
    <phoneticPr fontId="10" type="noConversion"/>
  </si>
  <si>
    <t>상대팀</t>
    <phoneticPr fontId="10" type="noConversion"/>
  </si>
  <si>
    <t>비야레알</t>
  </si>
  <si>
    <t>아우크스부르크</t>
  </si>
  <si>
    <t>아우크스부르크</t>
    <phoneticPr fontId="10" type="noConversion"/>
  </si>
  <si>
    <t>도르트문트</t>
    <phoneticPr fontId="10" type="noConversion"/>
  </si>
  <si>
    <t>유벤투스</t>
  </si>
  <si>
    <t>비야레알</t>
    <phoneticPr fontId="10" type="noConversion"/>
  </si>
  <si>
    <t>FA컵</t>
    <phoneticPr fontId="10" type="noConversion"/>
  </si>
  <si>
    <t>☆ 1부리그 ☆</t>
    <phoneticPr fontId="10" type="noConversion"/>
  </si>
  <si>
    <t>C조</t>
    <phoneticPr fontId="10" type="noConversion"/>
  </si>
  <si>
    <t xml:space="preserve">[결승] </t>
    <phoneticPr fontId="10" type="noConversion"/>
  </si>
  <si>
    <t xml:space="preserve">[4강] </t>
    <phoneticPr fontId="10" type="noConversion"/>
  </si>
  <si>
    <t xml:space="preserve">[8강] </t>
    <phoneticPr fontId="10" type="noConversion"/>
  </si>
  <si>
    <t>-</t>
    <phoneticPr fontId="10" type="noConversion"/>
  </si>
  <si>
    <t>A</t>
    <phoneticPr fontId="10" type="noConversion"/>
  </si>
  <si>
    <t>B</t>
    <phoneticPr fontId="10" type="noConversion"/>
  </si>
  <si>
    <t>C</t>
    <phoneticPr fontId="10" type="noConversion"/>
  </si>
  <si>
    <t>D</t>
    <phoneticPr fontId="10" type="noConversion"/>
  </si>
  <si>
    <t>챔피언스리그 GROUP STAGE</t>
    <phoneticPr fontId="10" type="noConversion"/>
  </si>
  <si>
    <t>1경기</t>
  </si>
  <si>
    <t>도르트문트</t>
  </si>
  <si>
    <t>레알 마드리드</t>
  </si>
  <si>
    <t>[14강] 레알 마드리드</t>
    <phoneticPr fontId="10" type="noConversion"/>
  </si>
  <si>
    <t>[8강] 레버쿠젠</t>
    <phoneticPr fontId="10" type="noConversion"/>
  </si>
  <si>
    <t>4:0 승</t>
    <phoneticPr fontId="10" type="noConversion"/>
  </si>
  <si>
    <t>14강</t>
    <phoneticPr fontId="10" type="noConversion"/>
  </si>
  <si>
    <t>8강</t>
    <phoneticPr fontId="10" type="noConversion"/>
  </si>
  <si>
    <t>결승</t>
    <phoneticPr fontId="10" type="noConversion"/>
  </si>
  <si>
    <t>준결승</t>
    <phoneticPr fontId="10" type="noConversion"/>
  </si>
  <si>
    <t>우승자</t>
    <phoneticPr fontId="10" type="noConversion"/>
  </si>
  <si>
    <t>2:1 승</t>
    <phoneticPr fontId="10" type="noConversion"/>
  </si>
  <si>
    <t>`</t>
    <phoneticPr fontId="10" type="noConversion"/>
  </si>
  <si>
    <t>레알마드리드</t>
    <phoneticPr fontId="10" type="noConversion"/>
  </si>
  <si>
    <t>AT마드리드</t>
    <phoneticPr fontId="10" type="noConversion"/>
  </si>
  <si>
    <t>인터밀란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</si>
</sst>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sz val="10"/>
      <color theme="1"/>
      <name val="Noto Sans KR"/>
      <family val="2"/>
      <charset val="129"/>
    </font>
    <font>
      <b/>
      <sz val="11"/>
      <color rgb="FFE52D38"/>
      <name val="Arial"/>
      <family val="2"/>
    </font>
    <font>
      <b/>
      <sz val="11"/>
      <color rgb="FF333333"/>
      <name val="Noto Sans KR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Noto Sans KR"/>
      <family val="2"/>
      <charset val="129"/>
    </font>
    <font>
      <b/>
      <sz val="10"/>
      <color theme="1"/>
      <name val="Arial"/>
      <family val="2"/>
    </font>
    <font>
      <sz val="11"/>
      <name val="Arial"/>
      <family val="2"/>
    </font>
    <font>
      <b/>
      <sz val="14"/>
      <color theme="1"/>
      <name val="맑은 고딕"/>
      <family val="2"/>
      <scheme val="minor"/>
    </font>
    <font>
      <b/>
      <sz val="16"/>
      <color theme="0"/>
      <name val="맑은 고딕"/>
      <family val="2"/>
      <scheme val="minor"/>
    </font>
    <font>
      <b/>
      <sz val="20"/>
      <color theme="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auto="1"/>
      </right>
      <top style="hair">
        <color auto="1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auto="1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left" vertical="center" wrapText="1" indent="1"/>
    </xf>
    <xf numFmtId="0" fontId="20" fillId="2" borderId="39" xfId="0" applyFont="1" applyFill="1" applyBorder="1" applyAlignment="1">
      <alignment horizontal="left" vertical="center" wrapText="1" indent="1"/>
    </xf>
    <xf numFmtId="0" fontId="20" fillId="0" borderId="39" xfId="0" applyFont="1" applyBorder="1" applyAlignment="1">
      <alignment horizontal="left" vertical="center" wrapText="1" indent="1"/>
    </xf>
    <xf numFmtId="0" fontId="20" fillId="2" borderId="42" xfId="0" applyFont="1" applyFill="1" applyBorder="1" applyAlignment="1">
      <alignment horizontal="left" vertical="center" wrapText="1" inden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176" fontId="17" fillId="0" borderId="46" xfId="0" applyNumberFormat="1" applyFont="1" applyBorder="1" applyAlignment="1">
      <alignment horizontal="center" vertical="center" wrapText="1"/>
    </xf>
    <xf numFmtId="176" fontId="17" fillId="2" borderId="39" xfId="0" applyNumberFormat="1" applyFont="1" applyFill="1" applyBorder="1" applyAlignment="1">
      <alignment horizontal="center" vertical="center" wrapText="1"/>
    </xf>
    <xf numFmtId="176" fontId="17" fillId="0" borderId="39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indent="1"/>
    </xf>
    <xf numFmtId="0" fontId="6" fillId="0" borderId="6" xfId="0" applyFont="1" applyBorder="1" applyAlignment="1">
      <alignment horizontal="center" vertical="center"/>
    </xf>
    <xf numFmtId="0" fontId="20" fillId="2" borderId="59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17" fillId="2" borderId="55" xfId="0" applyFont="1" applyFill="1" applyBorder="1" applyAlignment="1">
      <alignment horizontal="center" vertical="center" wrapText="1"/>
    </xf>
    <xf numFmtId="0" fontId="22" fillId="3" borderId="56" xfId="0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1" fontId="17" fillId="0" borderId="46" xfId="0" applyNumberFormat="1" applyFont="1" applyBorder="1" applyAlignment="1">
      <alignment horizontal="center" vertical="center" wrapText="1"/>
    </xf>
    <xf numFmtId="1" fontId="17" fillId="2" borderId="3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" fontId="24" fillId="2" borderId="39" xfId="0" applyNumberFormat="1" applyFont="1" applyFill="1" applyBorder="1" applyAlignment="1">
      <alignment horizontal="center" vertical="center" wrapText="1"/>
    </xf>
    <xf numFmtId="1" fontId="24" fillId="0" borderId="39" xfId="0" applyNumberFormat="1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4" borderId="70" xfId="0" applyFont="1" applyFill="1" applyBorder="1" applyAlignment="1">
      <alignment horizontal="center" vertical="center"/>
    </xf>
    <xf numFmtId="0" fontId="11" fillId="4" borderId="65" xfId="0" applyFont="1" applyFill="1" applyBorder="1" applyAlignment="1">
      <alignment horizontal="center" vertical="center"/>
    </xf>
    <xf numFmtId="0" fontId="11" fillId="6" borderId="63" xfId="0" applyFont="1" applyFill="1" applyBorder="1" applyAlignment="1">
      <alignment horizontal="center" vertical="center"/>
    </xf>
    <xf numFmtId="0" fontId="11" fillId="6" borderId="71" xfId="0" applyFont="1" applyFill="1" applyBorder="1" applyAlignment="1">
      <alignment horizontal="center" vertical="center"/>
    </xf>
    <xf numFmtId="0" fontId="11" fillId="6" borderId="70" xfId="0" applyFont="1" applyFill="1" applyBorder="1" applyAlignment="1">
      <alignment horizontal="center" vertical="center"/>
    </xf>
    <xf numFmtId="0" fontId="11" fillId="6" borderId="66" xfId="0" applyFont="1" applyFill="1" applyBorder="1" applyAlignment="1">
      <alignment horizontal="center" vertical="center"/>
    </xf>
    <xf numFmtId="0" fontId="11" fillId="9" borderId="70" xfId="0" applyFont="1" applyFill="1" applyBorder="1" applyAlignment="1">
      <alignment horizontal="center" vertical="center"/>
    </xf>
    <xf numFmtId="0" fontId="11" fillId="9" borderId="65" xfId="0" applyFont="1" applyFill="1" applyBorder="1" applyAlignment="1">
      <alignment horizontal="center" vertical="center"/>
    </xf>
    <xf numFmtId="0" fontId="11" fillId="11" borderId="63" xfId="0" applyFont="1" applyFill="1" applyBorder="1" applyAlignment="1">
      <alignment horizontal="center" vertical="center"/>
    </xf>
    <xf numFmtId="0" fontId="11" fillId="11" borderId="71" xfId="0" applyFont="1" applyFill="1" applyBorder="1" applyAlignment="1">
      <alignment horizontal="center" vertical="center"/>
    </xf>
    <xf numFmtId="0" fontId="11" fillId="11" borderId="70" xfId="0" applyFont="1" applyFill="1" applyBorder="1" applyAlignment="1">
      <alignment horizontal="center" vertical="center"/>
    </xf>
    <xf numFmtId="0" fontId="11" fillId="11" borderId="6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73" xfId="0" applyBorder="1" applyAlignment="1">
      <alignment horizontal="left" vertical="center" indent="1"/>
    </xf>
    <xf numFmtId="0" fontId="7" fillId="0" borderId="74" xfId="0" applyFont="1" applyBorder="1" applyAlignment="1">
      <alignment horizontal="center" vertical="center"/>
    </xf>
    <xf numFmtId="0" fontId="0" fillId="0" borderId="75" xfId="0" applyBorder="1" applyAlignment="1">
      <alignment horizontal="left" vertical="center" indent="1"/>
    </xf>
    <xf numFmtId="0" fontId="7" fillId="0" borderId="22" xfId="0" applyFont="1" applyBorder="1" applyAlignment="1">
      <alignment horizontal="center" vertical="center"/>
    </xf>
    <xf numFmtId="0" fontId="0" fillId="0" borderId="76" xfId="0" applyBorder="1" applyAlignment="1">
      <alignment horizontal="left" vertical="center" indent="1"/>
    </xf>
    <xf numFmtId="0" fontId="0" fillId="0" borderId="77" xfId="0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indent="1"/>
    </xf>
    <xf numFmtId="0" fontId="11" fillId="9" borderId="81" xfId="0" applyFont="1" applyFill="1" applyBorder="1" applyAlignment="1">
      <alignment horizontal="center" vertical="center"/>
    </xf>
    <xf numFmtId="0" fontId="11" fillId="9" borderId="71" xfId="0" applyFont="1" applyFill="1" applyBorder="1" applyAlignment="1">
      <alignment horizontal="center" vertical="center"/>
    </xf>
    <xf numFmtId="0" fontId="11" fillId="4" borderId="71" xfId="0" applyFont="1" applyFill="1" applyBorder="1" applyAlignment="1">
      <alignment horizontal="center" vertical="center"/>
    </xf>
    <xf numFmtId="0" fontId="11" fillId="4" borderId="81" xfId="0" applyFont="1" applyFill="1" applyBorder="1" applyAlignment="1">
      <alignment horizontal="center" vertical="center"/>
    </xf>
    <xf numFmtId="0" fontId="0" fillId="0" borderId="83" xfId="0" applyBorder="1" applyAlignment="1">
      <alignment horizontal="left" vertical="center" indent="1"/>
    </xf>
    <xf numFmtId="0" fontId="4" fillId="0" borderId="31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left" vertical="center" indent="1"/>
    </xf>
    <xf numFmtId="0" fontId="0" fillId="0" borderId="8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8" fillId="3" borderId="87" xfId="0" applyFont="1" applyFill="1" applyBorder="1" applyAlignment="1">
      <alignment horizontal="center" vertical="center" wrapText="1"/>
    </xf>
    <xf numFmtId="0" fontId="9" fillId="0" borderId="88" xfId="0" applyFont="1" applyBorder="1" applyAlignment="1">
      <alignment horizontal="center" vertical="center"/>
    </xf>
    <xf numFmtId="0" fontId="20" fillId="2" borderId="89" xfId="0" applyFont="1" applyFill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0" fontId="20" fillId="2" borderId="90" xfId="0" applyFont="1" applyFill="1" applyBorder="1" applyAlignment="1">
      <alignment horizontal="center" vertical="center" wrapText="1"/>
    </xf>
    <xf numFmtId="0" fontId="20" fillId="0" borderId="90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 indent="1"/>
    </xf>
    <xf numFmtId="0" fontId="17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left" vertical="center" indent="1"/>
    </xf>
    <xf numFmtId="0" fontId="7" fillId="0" borderId="96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13" fillId="16" borderId="0" xfId="0" applyFont="1" applyFill="1">
      <alignment vertical="center"/>
    </xf>
    <xf numFmtId="0" fontId="13" fillId="16" borderId="0" xfId="0" applyFont="1" applyFill="1" applyAlignment="1">
      <alignment horizontal="center" vertical="center"/>
    </xf>
    <xf numFmtId="0" fontId="0" fillId="15" borderId="110" xfId="0" applyFill="1" applyBorder="1" applyAlignment="1">
      <alignment horizontal="left" vertical="center" indent="1"/>
    </xf>
    <xf numFmtId="0" fontId="4" fillId="0" borderId="1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109" xfId="0" applyBorder="1" applyAlignment="1">
      <alignment horizontal="left" vertical="center" indent="1"/>
    </xf>
    <xf numFmtId="0" fontId="3" fillId="0" borderId="86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4" fillId="15" borderId="106" xfId="0" applyFont="1" applyFill="1" applyBorder="1" applyAlignment="1">
      <alignment horizontal="left" vertical="center" indent="1"/>
    </xf>
    <xf numFmtId="0" fontId="4" fillId="15" borderId="107" xfId="0" applyFont="1" applyFill="1" applyBorder="1" applyAlignment="1">
      <alignment horizontal="center" vertical="center"/>
    </xf>
    <xf numFmtId="0" fontId="4" fillId="15" borderId="108" xfId="0" applyFont="1" applyFill="1" applyBorder="1" applyAlignment="1">
      <alignment horizontal="center" vertical="center"/>
    </xf>
    <xf numFmtId="0" fontId="1" fillId="15" borderId="111" xfId="0" applyFont="1" applyFill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73" xfId="0" applyFont="1" applyBorder="1" applyAlignment="1">
      <alignment horizontal="left" vertical="center" indent="1"/>
    </xf>
    <xf numFmtId="0" fontId="3" fillId="0" borderId="74" xfId="0" applyFont="1" applyBorder="1" applyAlignment="1">
      <alignment horizontal="center" vertical="center"/>
    </xf>
    <xf numFmtId="0" fontId="12" fillId="4" borderId="81" xfId="0" applyFont="1" applyFill="1" applyBorder="1" applyAlignment="1">
      <alignment horizontal="center" vertical="center"/>
    </xf>
    <xf numFmtId="0" fontId="12" fillId="4" borderId="7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/>
    </xf>
    <xf numFmtId="0" fontId="26" fillId="14" borderId="62" xfId="0" applyFont="1" applyFill="1" applyBorder="1" applyAlignment="1">
      <alignment horizontal="center" vertical="center"/>
    </xf>
    <xf numFmtId="0" fontId="26" fillId="14" borderId="64" xfId="0" applyFont="1" applyFill="1" applyBorder="1" applyAlignment="1">
      <alignment horizontal="center" vertical="center"/>
    </xf>
    <xf numFmtId="0" fontId="26" fillId="14" borderId="69" xfId="0" applyFont="1" applyFill="1" applyBorder="1" applyAlignment="1">
      <alignment horizontal="center" vertical="center"/>
    </xf>
    <xf numFmtId="0" fontId="27" fillId="8" borderId="78" xfId="0" applyFont="1" applyFill="1" applyBorder="1" applyAlignment="1">
      <alignment horizontal="center" vertical="center"/>
    </xf>
    <xf numFmtId="0" fontId="27" fillId="8" borderId="79" xfId="0" applyFont="1" applyFill="1" applyBorder="1" applyAlignment="1">
      <alignment horizontal="center" vertical="center"/>
    </xf>
    <xf numFmtId="0" fontId="27" fillId="8" borderId="80" xfId="0" applyFont="1" applyFill="1" applyBorder="1" applyAlignment="1">
      <alignment horizontal="center" vertical="center"/>
    </xf>
    <xf numFmtId="0" fontId="12" fillId="4" borderId="70" xfId="0" applyFont="1" applyFill="1" applyBorder="1" applyAlignment="1">
      <alignment horizontal="center" vertical="center"/>
    </xf>
    <xf numFmtId="0" fontId="12" fillId="4" borderId="65" xfId="0" applyFont="1" applyFill="1" applyBorder="1" applyAlignment="1">
      <alignment horizontal="center" vertical="center"/>
    </xf>
    <xf numFmtId="0" fontId="12" fillId="6" borderId="63" xfId="0" applyFont="1" applyFill="1" applyBorder="1" applyAlignment="1">
      <alignment horizontal="center" vertical="center"/>
    </xf>
    <xf numFmtId="0" fontId="12" fillId="6" borderId="71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25" fillId="7" borderId="49" xfId="0" applyFont="1" applyFill="1" applyBorder="1" applyAlignment="1">
      <alignment horizontal="center" vertical="center"/>
    </xf>
    <xf numFmtId="0" fontId="25" fillId="7" borderId="68" xfId="0" applyFont="1" applyFill="1" applyBorder="1" applyAlignment="1">
      <alignment horizontal="center" vertical="center"/>
    </xf>
    <xf numFmtId="0" fontId="12" fillId="6" borderId="70" xfId="0" applyFont="1" applyFill="1" applyBorder="1" applyAlignment="1">
      <alignment horizontal="center" vertical="center"/>
    </xf>
    <xf numFmtId="0" fontId="12" fillId="6" borderId="66" xfId="0" applyFont="1" applyFill="1" applyBorder="1" applyAlignment="1">
      <alignment horizontal="center" vertical="center"/>
    </xf>
    <xf numFmtId="0" fontId="12" fillId="9" borderId="81" xfId="0" applyFont="1" applyFill="1" applyBorder="1" applyAlignment="1">
      <alignment horizontal="center" vertical="center"/>
    </xf>
    <xf numFmtId="0" fontId="12" fillId="9" borderId="71" xfId="0" applyFont="1" applyFill="1" applyBorder="1" applyAlignment="1">
      <alignment horizontal="center" vertical="center"/>
    </xf>
    <xf numFmtId="0" fontId="25" fillId="10" borderId="49" xfId="0" applyFont="1" applyFill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/>
    </xf>
    <xf numFmtId="0" fontId="26" fillId="13" borderId="64" xfId="0" applyFont="1" applyFill="1" applyBorder="1" applyAlignment="1">
      <alignment horizontal="center" vertical="center"/>
    </xf>
    <xf numFmtId="0" fontId="26" fillId="13" borderId="69" xfId="0" applyFont="1" applyFill="1" applyBorder="1" applyAlignment="1">
      <alignment horizontal="center" vertical="center"/>
    </xf>
    <xf numFmtId="0" fontId="12" fillId="9" borderId="70" xfId="0" applyFont="1" applyFill="1" applyBorder="1" applyAlignment="1">
      <alignment horizontal="center" vertical="center"/>
    </xf>
    <xf numFmtId="0" fontId="12" fillId="9" borderId="65" xfId="0" applyFont="1" applyFill="1" applyBorder="1" applyAlignment="1">
      <alignment horizontal="center" vertical="center"/>
    </xf>
    <xf numFmtId="0" fontId="12" fillId="11" borderId="63" xfId="0" applyFont="1" applyFill="1" applyBorder="1" applyAlignment="1">
      <alignment horizontal="center" vertical="center"/>
    </xf>
    <xf numFmtId="0" fontId="12" fillId="11" borderId="71" xfId="0" applyFont="1" applyFill="1" applyBorder="1" applyAlignment="1">
      <alignment horizontal="center" vertical="center"/>
    </xf>
    <xf numFmtId="0" fontId="25" fillId="12" borderId="50" xfId="0" applyFont="1" applyFill="1" applyBorder="1" applyAlignment="1">
      <alignment horizontal="center" vertical="center"/>
    </xf>
    <xf numFmtId="0" fontId="25" fillId="12" borderId="49" xfId="0" applyFont="1" applyFill="1" applyBorder="1" applyAlignment="1">
      <alignment horizontal="center" vertical="center"/>
    </xf>
    <xf numFmtId="0" fontId="25" fillId="12" borderId="68" xfId="0" applyFont="1" applyFill="1" applyBorder="1" applyAlignment="1">
      <alignment horizontal="center" vertical="center"/>
    </xf>
    <xf numFmtId="0" fontId="12" fillId="11" borderId="70" xfId="0" applyFont="1" applyFill="1" applyBorder="1" applyAlignment="1">
      <alignment horizontal="center" vertical="center"/>
    </xf>
    <xf numFmtId="0" fontId="12" fillId="11" borderId="6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0" fillId="16" borderId="60" xfId="0" applyFill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9" borderId="82" xfId="0" applyFont="1" applyFill="1" applyBorder="1" applyAlignment="1">
      <alignment horizontal="center" vertical="center"/>
    </xf>
    <xf numFmtId="0" fontId="12" fillId="9" borderId="72" xfId="0" applyFont="1" applyFill="1" applyBorder="1" applyAlignment="1">
      <alignment horizontal="center" vertical="center"/>
    </xf>
    <xf numFmtId="0" fontId="12" fillId="4" borderId="82" xfId="0" applyFont="1" applyFill="1" applyBorder="1" applyAlignment="1">
      <alignment horizontal="center" vertical="center"/>
    </xf>
    <xf numFmtId="0" fontId="12" fillId="4" borderId="7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2" fillId="11" borderId="67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/>
    </xf>
    <xf numFmtId="0" fontId="12" fillId="11" borderId="72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28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67" xfId="0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12" fillId="6" borderId="72" xfId="0" applyFont="1" applyFill="1" applyBorder="1" applyAlignment="1">
      <alignment horizontal="center" vertical="center"/>
    </xf>
  </cellXfs>
  <cellStyles count="1">
    <cellStyle name="표준" xfId="0" builtinId="0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0</xdr:colOff>
      <xdr:row>1</xdr:row>
      <xdr:rowOff>0</xdr:rowOff>
    </xdr:from>
    <xdr:to>
      <xdr:col>19</xdr:col>
      <xdr:colOff>0</xdr:colOff>
      <xdr:row>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팀 1">
              <a:extLst>
                <a:ext uri="{FF2B5EF4-FFF2-40B4-BE49-F238E27FC236}">
                  <a16:creationId xmlns:a16="http://schemas.microsoft.com/office/drawing/2014/main" id="{B4EB3596-7B9C-D28A-6FB2-FF53F089EF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6505" y="208926"/>
              <a:ext cx="1803730" cy="2249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0</xdr:colOff>
      <xdr:row>1</xdr:row>
      <xdr:rowOff>0</xdr:rowOff>
    </xdr:from>
    <xdr:to>
      <xdr:col>21</xdr:col>
      <xdr:colOff>1</xdr:colOff>
      <xdr:row>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상대팀 1">
              <a:extLst>
                <a:ext uri="{FF2B5EF4-FFF2-40B4-BE49-F238E27FC236}">
                  <a16:creationId xmlns:a16="http://schemas.microsoft.com/office/drawing/2014/main" id="{92CCAF35-1D1F-0BF1-B7B0-5F8C51B815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대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0235" y="208926"/>
              <a:ext cx="1803729" cy="2249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6965</xdr:colOff>
      <xdr:row>1</xdr:row>
      <xdr:rowOff>0</xdr:rowOff>
    </xdr:from>
    <xdr:to>
      <xdr:col>17</xdr:col>
      <xdr:colOff>1142129</xdr:colOff>
      <xdr:row>12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팀">
              <a:extLst>
                <a:ext uri="{FF2B5EF4-FFF2-40B4-BE49-F238E27FC236}">
                  <a16:creationId xmlns:a16="http://schemas.microsoft.com/office/drawing/2014/main" id="{052969B9-74B9-8CCB-E8AF-C653C63543C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4553" y="208926"/>
              <a:ext cx="2444435" cy="361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1142129</xdr:colOff>
      <xdr:row>0</xdr:row>
      <xdr:rowOff>204686</xdr:rowOff>
    </xdr:from>
    <xdr:to>
      <xdr:col>20</xdr:col>
      <xdr:colOff>1128201</xdr:colOff>
      <xdr:row>12</xdr:row>
      <xdr:rowOff>5146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상대팀">
              <a:extLst>
                <a:ext uri="{FF2B5EF4-FFF2-40B4-BE49-F238E27FC236}">
                  <a16:creationId xmlns:a16="http://schemas.microsoft.com/office/drawing/2014/main" id="{B45FAA61-945B-85B2-FEF0-134CA809055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대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8988" y="204686"/>
              <a:ext cx="2444436" cy="36238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팀" xr10:uid="{24EA0257-3DFD-4B9C-97FE-E7D8CE4FEDE5}" sourceName="팀">
  <extLst>
    <x:ext xmlns:x15="http://schemas.microsoft.com/office/spreadsheetml/2010/11/main" uri="{2F2917AC-EB37-4324-AD4E-5DD8C200BD13}">
      <x15:tableSlicerCache tableId="15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대팀" xr10:uid="{9D1E5490-8C5C-4155-9635-879E469701EB}" sourceName="상대팀">
  <extLst>
    <x:ext xmlns:x15="http://schemas.microsoft.com/office/spreadsheetml/2010/11/main" uri="{2F2917AC-EB37-4324-AD4E-5DD8C200BD13}">
      <x15:tableSlicerCache tableId="15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팀1" xr10:uid="{413FB2BF-2DEA-462A-8EED-7DA33AC7E9B2}" sourceName="팀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대팀1" xr10:uid="{240A0287-DA9B-40C7-A357-DDC18F75DEEC}" sourceName="상대팀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팀 1" xr10:uid="{18BC8CD5-889A-4619-B85F-CC51CD06334F}" cache="슬라이서_팀1" caption="팀" style="SlicerStyleOther2" rowHeight="260475"/>
  <slicer name="상대팀 1" xr10:uid="{9CAF1606-1D98-44A8-B7C4-CEE95E8D7644}" cache="슬라이서_상대팀1" caption="상대팀" style="SlicerStyleLight6" rowHeight="2604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팀" xr10:uid="{E9DF2DF4-A25E-4B2C-B557-720D0702E67A}" cache="슬라이서_팀" caption="팀" style="SlicerStyleDark1" lockedPosition="1" rowHeight="260475"/>
  <slicer name="상대팀" xr10:uid="{255F88D8-54A7-4FEE-8AB9-79901CC474EF}" cache="슬라이서_상대팀" caption="상대팀" style="SlicerStyleDark5" lockedPosition="1" rowHeight="2604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9DFE0-F09F-4AC2-A337-4697B30FC335}" name="표1부리그경기결과" displayName="표1부리그경기결과" ref="P10:U70" totalsRowShown="0" headerRowDxfId="122" dataDxfId="121" tableBorderDxfId="120">
  <autoFilter ref="P10:U70" xr:uid="{1D7BECB0-7E11-4542-9625-5924A17855C1}">
    <filterColumn colId="2">
      <filters>
        <filter val="인테르"/>
      </filters>
    </filterColumn>
  </autoFilter>
  <sortState xmlns:xlrd2="http://schemas.microsoft.com/office/spreadsheetml/2017/richdata2" ref="P11:U70">
    <sortCondition ref="P10:P70"/>
  </sortState>
  <tableColumns count="6">
    <tableColumn id="1" xr3:uid="{89BD3071-C378-48B3-A3B2-5A55E712C294}" name="NO" dataDxfId="119"/>
    <tableColumn id="2" xr3:uid="{03E9872A-26D2-4E8B-A548-CDFF9089AE45}" name="결과" dataDxfId="118">
      <calculatedColumnFormula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calculatedColumnFormula>
    </tableColumn>
    <tableColumn id="3" xr3:uid="{4A3FAD69-2CB2-4A2C-AD7F-EA3A41F6C43D}" name="팀" dataDxfId="117"/>
    <tableColumn id="4" xr3:uid="{4E2C808E-5E6F-4013-BED4-C0A844514577}" name="득점" dataDxfId="116"/>
    <tableColumn id="5" xr3:uid="{B307050D-7477-4C7C-B298-5732F22A466D}" name="실점" dataDxfId="115"/>
    <tableColumn id="6" xr3:uid="{463A0F2E-4629-45BD-A819-0EBCB0B90F32}" name="상대팀" dataDxfId="11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7BECB0-7E11-4542-9625-5924A17855C1}" name="표100" displayName="표100" ref="P14:U194" totalsRowShown="0" headerRowDxfId="113" dataDxfId="112" tableBorderDxfId="111">
  <autoFilter ref="P14:U194" xr:uid="{1D7BECB0-7E11-4542-9625-5924A17855C1}">
    <filterColumn colId="2">
      <filters>
        <filter val="레버쿠젠"/>
        <filter val="레알 마드리드"/>
      </filters>
    </filterColumn>
    <filterColumn colId="5">
      <filters>
        <filter val="레버쿠젠"/>
        <filter val="레알 마드리드"/>
      </filters>
    </filterColumn>
  </autoFilter>
  <tableColumns count="6">
    <tableColumn id="1" xr3:uid="{7C72AED6-48C4-4BAA-85FD-449852D4FF57}" name="NO" dataDxfId="110"/>
    <tableColumn id="2" xr3:uid="{3B1531D8-775D-4155-A87D-3E8953088C7F}" name="결과" dataDxfId="109">
      <calculatedColumnFormula>IF(표100[[#This Row],[득점]]="","미진행",IF(표100[[#This Row],[득점]]&gt;표100[[#This Row],[실점]],"승",IF(표100[[#This Row],[득점]]=표100[[#This Row],[실점]],"무",IF(표100[[#This Row],[득점]]&lt;표100[[#This Row],[실점]],"패","미진행"))))</calculatedColumnFormula>
    </tableColumn>
    <tableColumn id="3" xr3:uid="{B3D7CB5D-BF9C-4367-A77E-D71238180BF4}" name="팀" dataDxfId="108"/>
    <tableColumn id="4" xr3:uid="{66023EAE-AF0B-4B17-A850-888D80ED6D3D}" name="득점" dataDxfId="107"/>
    <tableColumn id="5" xr3:uid="{78228ABE-DD59-4A0C-8D58-1586B8B806C7}" name="실점" dataDxfId="106"/>
    <tableColumn id="6" xr3:uid="{38A07F5E-FE72-4DD5-8C10-05C90EC11317}" name="상대팀" dataDxfId="10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8D1405-3E9B-4912-8FA7-46D6BEA87E05}" name="표2부리그" displayName="표2부리그" ref="M3:U13" totalsRowShown="0" headerRowDxfId="104" dataDxfId="103">
  <autoFilter ref="M3:U13" xr:uid="{398D1405-3E9B-4912-8FA7-46D6BEA87E05}"/>
  <sortState xmlns:xlrd2="http://schemas.microsoft.com/office/spreadsheetml/2017/richdata2" ref="M4:U13">
    <sortCondition descending="1" ref="N3:N13"/>
  </sortState>
  <tableColumns count="9">
    <tableColumn id="1" xr3:uid="{A0FC2201-2A9A-48D9-A555-628E89C02916}" name="팀" dataDxfId="102"/>
    <tableColumn id="9" xr3:uid="{DEFA1BA2-D743-4067-84B9-1E7B719B60C2}" name="승점점수" dataDxfId="101">
      <calculatedColumnFormula>표2부리그[[#This Row],[승]]*3+표2부리그[[#This Row],[무]]</calculatedColumnFormula>
    </tableColumn>
    <tableColumn id="2" xr3:uid="{AACD5620-21D5-43DA-A9F4-7FBDA90EB4FE}" name="경기" dataDxfId="100">
      <calculatedColumnFormula>표2부리그[[#This Row],[승]]+표2부리그[[#This Row],[무]]+표2부리그[[#This Row],[패]]</calculatedColumnFormula>
    </tableColumn>
    <tableColumn id="3" xr3:uid="{E248D5F7-87AC-4B31-A1E3-81C78F0275C0}" name="승" dataDxfId="99">
      <calculatedColumnFormula>COUNTIFS(표100[팀],표2부리그[[#This Row],[팀]],표100[결과],$L$2)</calculatedColumnFormula>
    </tableColumn>
    <tableColumn id="4" xr3:uid="{2B27B48F-1377-4FDA-82DA-5170423A952F}" name="무" dataDxfId="98">
      <calculatedColumnFormula>COUNTIFS(표100[팀],표2부리그[[#This Row],[팀]],표100[결과],$M$2)</calculatedColumnFormula>
    </tableColumn>
    <tableColumn id="5" xr3:uid="{66F671C9-9AD8-4295-92E2-D4B595820BE3}" name="패" dataDxfId="97">
      <calculatedColumnFormula>COUNTIFS(표100[팀],표2부리그[[#This Row],[팀]],표100[결과],$N$2)</calculatedColumnFormula>
    </tableColumn>
    <tableColumn id="6" xr3:uid="{8D0A9701-43C8-44DE-AE85-08A6B1AD4F79}" name="득점" dataDxfId="96">
      <calculatedColumnFormula>SUMIFS(표100[득점],표100[팀],표2부리그[[#This Row],[팀]])</calculatedColumnFormula>
    </tableColumn>
    <tableColumn id="7" xr3:uid="{24C82B08-0A3D-4ABC-83B1-220099AE1C48}" name="실점" dataDxfId="95">
      <calculatedColumnFormula>SUMIFS(표100[실점],표100[팀],표2부리그[[#This Row],[팀]])</calculatedColumnFormula>
    </tableColumn>
    <tableColumn id="8" xr3:uid="{A0C16888-273C-46AD-8242-BA4064C8043C}" name="득실" dataDxfId="94">
      <calculatedColumnFormula>표2부리그[[#This Row],[득점]]-표2부리그[[#This Row],[실점]]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E9989F-393B-461A-81DE-D007579019CD}" name="표1부리그" displayName="표1부리그" ref="C3:K9" totalsRowShown="0" headerRowDxfId="93" dataDxfId="92">
  <autoFilter ref="C3:K9" xr:uid="{1DE9989F-393B-461A-81DE-D007579019CD}"/>
  <sortState xmlns:xlrd2="http://schemas.microsoft.com/office/spreadsheetml/2017/richdata2" ref="C4:K9">
    <sortCondition descending="1" ref="D4:D10"/>
  </sortState>
  <tableColumns count="9">
    <tableColumn id="1" xr3:uid="{C51F0983-3E55-43E6-9ED8-8F4C301F62B1}" name="팀" dataDxfId="91"/>
    <tableColumn id="9" xr3:uid="{DDD28350-A4F2-42DC-BF3F-6FF1D02F1E43}" name="승점점수" dataDxfId="90">
      <calculatedColumnFormula>표1부리그[[#This Row],[승]]*3+표1부리그[[#This Row],[무]]</calculatedColumnFormula>
    </tableColumn>
    <tableColumn id="2" xr3:uid="{739CC69B-3D36-4365-A486-B7A86752172D}" name="경기" dataDxfId="89">
      <calculatedColumnFormula>표1부리그[[#This Row],[승]]+표1부리그[[#This Row],[무]]+표1부리그[[#This Row],[패]]</calculatedColumnFormula>
    </tableColumn>
    <tableColumn id="3" xr3:uid="{4B343DB4-53DE-4C03-944E-B18FFC36BB9E}" name="승" dataDxfId="88">
      <calculatedColumnFormula>COUNTIFS(표100[팀],표1부리그[[#This Row],[팀]],표100[결과],$L$2)</calculatedColumnFormula>
    </tableColumn>
    <tableColumn id="4" xr3:uid="{8324C8CD-0074-4F8A-9CC4-F1D828557478}" name="무" dataDxfId="87">
      <calculatedColumnFormula>COUNTIFS(표100[팀],표1부리그[[#This Row],[팀]],표100[결과],$M$2)</calculatedColumnFormula>
    </tableColumn>
    <tableColumn id="5" xr3:uid="{ED1EEB22-9FE1-4ADE-9470-02210B7310DB}" name="패" dataDxfId="86">
      <calculatedColumnFormula>COUNTIFS(표100[팀],표1부리그[[#This Row],[팀]],표100[결과],$N$2)</calculatedColumnFormula>
    </tableColumn>
    <tableColumn id="6" xr3:uid="{A308886F-AF15-4CFE-8D08-F5F3E34D9256}" name="득점" dataDxfId="85">
      <calculatedColumnFormula>SUMIFS(표100[득점],표100[팀],표1부리그[[#This Row],[팀]])</calculatedColumnFormula>
    </tableColumn>
    <tableColumn id="7" xr3:uid="{CA64CAFE-49A7-4B57-A8A5-2DCD687DEF29}" name="실점" dataDxfId="84">
      <calculatedColumnFormula>SUMIFS(표100[실점],표100[팀],표1부리그[[#This Row],[팀]])</calculatedColumnFormula>
    </tableColumn>
    <tableColumn id="8" xr3:uid="{E6717C54-9A53-4AC2-9201-A234293AE9ED}" name="득실" dataDxfId="83">
      <calculatedColumnFormula>표1부리그[[#This Row],[득점]]-표1부리그[[#This Row],[실점]]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B2A89D-2F51-4398-BB64-BFC79B04D419}" name="표2_4" displayName="표2_4" ref="V26:AD30" totalsRowShown="0" headerRowDxfId="82" dataDxfId="81">
  <autoFilter ref="V26:AD30" xr:uid="{2D361B3E-072B-47C0-84A5-DBE13DBAD7D5}"/>
  <tableColumns count="9">
    <tableColumn id="1" xr3:uid="{F312621D-D8EC-4E13-81CD-E3CD80B5F807}" name="팀" dataDxfId="80"/>
    <tableColumn id="2" xr3:uid="{D6659F49-4723-4457-87BD-643C6341BBAE}" name="경기" dataDxfId="79">
      <calculatedColumnFormula>표2_4[[#This Row],[승]]+표2_4[[#This Row],[무]]+표2_4[[#This Row],[패]]</calculatedColumnFormula>
    </tableColumn>
    <tableColumn id="3" xr3:uid="{3AB751BB-2842-464D-88FB-5BE9B2A8D471}" name="승" dataDxfId="78">
      <calculatedColumnFormula>COUNTIFS(챔스A[팀1 결과],X$25,챔스A[팀1],표2_4[[#This Row],[팀]])+COUNTIFS(챔스A[팀2 결과],X$25,챔스A[팀2],표2_4[[#This Row],[팀]])</calculatedColumnFormula>
    </tableColumn>
    <tableColumn id="4" xr3:uid="{DC6F89B2-5451-47F2-8DBB-AC79814E2A50}" name="무" dataDxfId="77">
      <calculatedColumnFormula>COUNTIFS(챔스A[팀1 결과],Y$25,챔스A[팀1],표2_4[[#This Row],[팀]])+COUNTIFS(챔스A[팀2 결과],Y$25,챔스A[팀2],표2_4[[#This Row],[팀]])</calculatedColumnFormula>
    </tableColumn>
    <tableColumn id="5" xr3:uid="{A942781F-97CA-4729-9E3B-2B60619381F9}" name="패" dataDxfId="76">
      <calculatedColumnFormula>COUNTIFS(챔스A[팀1 결과],Z$25,챔스A[팀1],표2_4[[#This Row],[팀]])+COUNTIFS(챔스A[팀2 결과],Z$25,챔스A[팀2],표2_4[[#This Row],[팀]])</calculatedColumnFormula>
    </tableColumn>
    <tableColumn id="6" xr3:uid="{6CE21770-DDD3-4E7C-AF78-9AF253B37E47}" name="득점" dataDxfId="75">
      <calculatedColumnFormula>SUMIF(챔스A[팀1],표2_4[[#This Row],[팀]],챔스A[팀1 S])+SUMIF(챔스A[팀2],표2_4[[#This Row],[팀]],챔스A[팀2 S])</calculatedColumnFormula>
    </tableColumn>
    <tableColumn id="7" xr3:uid="{044FA533-91C4-453A-AD95-528BE3D76FF9}" name="실점" dataDxfId="74">
      <calculatedColumnFormula>SUMIF(챔스A[팀1],표2_4[[#This Row],[팀]],챔스A[팀2 S])+SUMIF(챔스A[팀2],표2_4[[#This Row],[팀]],챔스A[팀1 S])</calculatedColumnFormula>
    </tableColumn>
    <tableColumn id="8" xr3:uid="{5CAF2E93-82ED-4F26-BD6B-F43399844A79}" name="득실" dataDxfId="73">
      <calculatedColumnFormula>표2_4[[#This Row],[득점]]-표2_4[[#This Row],[실점]]</calculatedColumnFormula>
    </tableColumn>
    <tableColumn id="9" xr3:uid="{19167AC0-F839-4568-B6F9-E5201ECAFD83}" name="승점점수" dataDxfId="72">
      <calculatedColumnFormula>표2_4[[#This Row],[승]]*3+표2_4[[#This Row],[무]]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2A0D11-FC44-4B7C-AE58-4020B37ECFCE}" name="챔스A" displayName="챔스A" ref="O26:T38" totalsRowShown="0" headerRowDxfId="71" tableBorderDxfId="70">
  <autoFilter ref="O26:T38" xr:uid="{1E31C581-9F54-40C8-A5E4-AD82E1CFEBA3}"/>
  <sortState xmlns:xlrd2="http://schemas.microsoft.com/office/spreadsheetml/2017/richdata2" ref="O27:T38">
    <sortCondition descending="1" ref="P26:P38"/>
  </sortState>
  <tableColumns count="6">
    <tableColumn id="1" xr3:uid="{E11EF764-A2B6-4AD7-A92E-1214D0A72312}" name="팀1 결과" dataDxfId="69">
      <calculatedColumnFormula>IF(Q27="","",IF(Q27&gt;R27,"승",IF(Q27=R27,"무",IF(Q27&lt;R27,"패",""))))</calculatedColumnFormula>
    </tableColumn>
    <tableColumn id="2" xr3:uid="{8E2501E1-1846-44D2-AB19-4C19167C694C}" name="팀1" dataDxfId="68"/>
    <tableColumn id="3" xr3:uid="{A1EE6E5E-3A49-4B82-9419-0BC1949F86FB}" name="팀1 S" dataDxfId="67"/>
    <tableColumn id="4" xr3:uid="{BEFEC816-38C5-4DDA-9DC2-AA1C02BCB9D6}" name="팀2 S" dataDxfId="66"/>
    <tableColumn id="5" xr3:uid="{957923B1-60FC-4657-BC5D-A06D5925C809}" name="팀2" dataDxfId="65"/>
    <tableColumn id="6" xr3:uid="{D67ED0F1-B98C-468C-A7C7-0FF09D7CEDD0}" name="팀2 결과" dataDxfId="64">
      <calculatedColumnFormula>IF(O27="","",IF(O27="무","무",IF(O27="승","패","승")))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733118-E5ED-4284-952D-AC2C5758BE3C}" name="표2_46" displayName="표2_46" ref="V33:AD37" totalsRowShown="0" headerRowDxfId="63" dataDxfId="62">
  <autoFilter ref="V33:AD37" xr:uid="{41733118-E5ED-4284-952D-AC2C5758BE3C}"/>
  <tableColumns count="9">
    <tableColumn id="1" xr3:uid="{4F9D2760-BBF6-494C-8438-248F8EC63E64}" name="팀" dataDxfId="61"/>
    <tableColumn id="2" xr3:uid="{96404A2C-8135-4962-82CD-DD6F955D5E21}" name="경기" dataDxfId="60">
      <calculatedColumnFormula>표2_46[[#This Row],[승]]+표2_46[[#This Row],[무]]+표2_46[[#This Row],[패]]</calculatedColumnFormula>
    </tableColumn>
    <tableColumn id="3" xr3:uid="{858120F2-FFAB-4A68-911A-473B18A6CF6F}" name="승" dataDxfId="59">
      <calculatedColumnFormula>COUNTIFS(챔스A_7[팀1 결과],X$32,챔스A_7[팀1],표2_46[[#This Row],[팀]])+COUNTIFS(챔스A_7[팀2 결과],X$32,챔스A_7[팀2],표2_46[[#This Row],[팀]])</calculatedColumnFormula>
    </tableColumn>
    <tableColumn id="4" xr3:uid="{A48EFA01-7536-4091-A24C-937167E6C84D}" name="무" dataDxfId="58">
      <calculatedColumnFormula>COUNTIFS(챔스A_7[팀1 결과],Y$32,챔스A_7[팀1],표2_46[[#This Row],[팀]])+COUNTIFS(챔스A_7[팀2 결과],Y$32,챔스A_7[팀2],표2_46[[#This Row],[팀]])</calculatedColumnFormula>
    </tableColumn>
    <tableColumn id="5" xr3:uid="{E493D34A-182F-4D97-B3DF-FD81BB031DDC}" name="패" dataDxfId="57">
      <calculatedColumnFormula>COUNTIFS(챔스A_7[팀1 결과],Z$32,챔스A_7[팀1],표2_46[[#This Row],[팀]])+COUNTIFS(챔스A_7[팀2 결과],Z$32,챔스A_7[팀2],표2_46[[#This Row],[팀]])</calculatedColumnFormula>
    </tableColumn>
    <tableColumn id="6" xr3:uid="{1B9F3E22-6856-4BB5-A61D-56106FCD8227}" name="득점" dataDxfId="56">
      <calculatedColumnFormula>SUMIF(챔스A_7[팀1],표2_46[[#This Row],[팀]],챔스A_7[팀1 S])+SUMIF(챔스A_7[팀2],표2_46[[#This Row],[팀]],챔스A_7[팀2 S])</calculatedColumnFormula>
    </tableColumn>
    <tableColumn id="7" xr3:uid="{83E94B4A-C208-4B88-A42D-614A16A7685E}" name="실점" dataDxfId="55">
      <calculatedColumnFormula>SUMIF(챔스A_7[팀1],표2_46[[#This Row],[팀]],챔스A_7[팀2 S])+SUMIF(챔스A_7[팀2],표2_46[[#This Row],[팀]],챔스A_7[팀1 S])</calculatedColumnFormula>
    </tableColumn>
    <tableColumn id="8" xr3:uid="{82DC0C80-2CC8-4C82-BA0A-A072BA6CB33C}" name="득실" dataDxfId="54">
      <calculatedColumnFormula>표2_46[[#This Row],[득점]]-표2_46[[#This Row],[실점]]</calculatedColumnFormula>
    </tableColumn>
    <tableColumn id="9" xr3:uid="{1B3A99D6-12D7-42C1-9A03-FB89DF444020}" name="승점점수" dataDxfId="53">
      <calculatedColumnFormula>표2_46[[#This Row],[승]]*3+표2_46[[#This Row],[무]]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DA4D7D-F1C1-4388-A07E-8AD204AA74A6}" name="챔스A_7911" displayName="챔스A_7911" ref="O65:T71" totalsRowShown="0" headerRowDxfId="52" tableBorderDxfId="51">
  <autoFilter ref="O65:T71" xr:uid="{BCDA4D7D-F1C1-4388-A07E-8AD204AA74A6}"/>
  <sortState xmlns:xlrd2="http://schemas.microsoft.com/office/spreadsheetml/2017/richdata2" ref="O66:T71">
    <sortCondition descending="1" ref="P65:P71"/>
  </sortState>
  <tableColumns count="6">
    <tableColumn id="1" xr3:uid="{FD186B25-3AB1-4EAD-82A3-864E7A3522CF}" name="팀1 결과" dataDxfId="50">
      <calculatedColumnFormula>IF(Q66="","",IF(Q66&gt;R66,"승",IF(Q66=R66,"무",IF(Q66&lt;R66,"패",""))))</calculatedColumnFormula>
    </tableColumn>
    <tableColumn id="2" xr3:uid="{344F78FE-8637-41BE-8A63-6B0F3875A8F3}" name="팀1" dataDxfId="49"/>
    <tableColumn id="3" xr3:uid="{F407A39D-A3EE-4CBF-B031-9D46F9200D29}" name="팀1 S" dataDxfId="48"/>
    <tableColumn id="4" xr3:uid="{99B2B1BF-0D33-4CFB-BBAF-1DF86A623DBC}" name="팀2 S" dataDxfId="47"/>
    <tableColumn id="5" xr3:uid="{DF95546A-8C8E-466B-9117-3285A8D34FD9}" name="팀2" dataDxfId="46"/>
    <tableColumn id="6" xr3:uid="{E588D62D-F151-485A-A6B8-4554CCBAB33C}" name="팀2 결과" dataDxfId="45">
      <calculatedColumnFormula>IF(O66="","",IF(O66="무","무",IF(O66="승","패","승")))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BC9482-DBE4-4095-96E8-BA7DDDD128DA}" name="챔스A_7" displayName="챔스A_7" ref="O41:T53" totalsRowShown="0" headerRowDxfId="44" tableBorderDxfId="43">
  <autoFilter ref="O41:T53" xr:uid="{14BC9482-DBE4-4095-96E8-BA7DDDD128DA}"/>
  <sortState xmlns:xlrd2="http://schemas.microsoft.com/office/spreadsheetml/2017/richdata2" ref="O42:T53">
    <sortCondition descending="1" ref="P41:P53"/>
  </sortState>
  <tableColumns count="6">
    <tableColumn id="1" xr3:uid="{14DCC67E-0974-47E0-B403-E734477F84FF}" name="팀1 결과" dataDxfId="42">
      <calculatedColumnFormula>IF(Q42="","",IF(Q42&gt;R42,"승",IF(Q42=R42,"무",IF(Q42&lt;R42,"패",""))))</calculatedColumnFormula>
    </tableColumn>
    <tableColumn id="2" xr3:uid="{6FA6EA59-DC63-4559-8168-17AF621A8E15}" name="팀1" dataDxfId="41"/>
    <tableColumn id="3" xr3:uid="{B81241E7-F326-4201-A01F-173540363345}" name="팀1 S" dataDxfId="40"/>
    <tableColumn id="4" xr3:uid="{21C1BB1A-A72C-4EF2-AA6D-78976683F8C7}" name="팀2 S" dataDxfId="39"/>
    <tableColumn id="5" xr3:uid="{15929D31-016E-4E57-B850-A2CD06C49022}" name="팀2" dataDxfId="38"/>
    <tableColumn id="6" xr3:uid="{B0142E18-F0CE-4288-8951-F04F18C3BCBB}" name="팀2 결과" dataDxfId="37">
      <calculatedColumnFormula>IF(O42="","",IF(O42="무","무",IF(O42="승","패","승")))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6B1AEB5-7069-464E-94E1-67A6F0830AF4}" name="표2_4681015" displayName="표2_4681015" ref="V40:AD43" totalsRowShown="0" headerRowDxfId="36" dataDxfId="35">
  <autoFilter ref="V40:AD43" xr:uid="{66B1AEB5-7069-464E-94E1-67A6F0830AF4}"/>
  <tableColumns count="9">
    <tableColumn id="1" xr3:uid="{336CC042-7BFD-454E-8B92-857D114AF0B4}" name="팀" dataDxfId="34"/>
    <tableColumn id="2" xr3:uid="{870C076F-E2EE-4975-9931-661B34961C0F}" name="경기" dataDxfId="33">
      <calculatedColumnFormula>표2_4681015[[#This Row],[승]]+표2_4681015[[#This Row],[무]]+표2_4681015[[#This Row],[패]]</calculatedColumnFormula>
    </tableColumn>
    <tableColumn id="3" xr3:uid="{B02F869D-7D91-4902-B79B-0878520642FC}" name="승" dataDxfId="32">
      <calculatedColumnFormula>COUNTIFS(챔스A_791118[팀1 결과],X$39,챔스A_791118[팀1],표2_4681015[[#This Row],[팀]])+COUNTIFS(챔스A_791118[팀2 결과],X$39,챔스A_791118[팀2],표2_4681015[[#This Row],[팀]])</calculatedColumnFormula>
    </tableColumn>
    <tableColumn id="4" xr3:uid="{1E400196-DEF9-463E-A2A1-7A8AE5282725}" name="무" dataDxfId="31">
      <calculatedColumnFormula>COUNTIFS(챔스A_791118[팀1 결과],Y$39,챔스A_791118[팀1],표2_4681015[[#This Row],[팀]])+COUNTIFS(챔스A_791118[팀2 결과],Y$39,챔스A_791118[팀2],표2_4681015[[#This Row],[팀]])</calculatedColumnFormula>
    </tableColumn>
    <tableColumn id="5" xr3:uid="{7847F7D4-7507-4D43-A05C-893760475C13}" name="패" dataDxfId="30">
      <calculatedColumnFormula>COUNTIFS(챔스A_791118[팀1 결과],Z$39,챔스A_791118[팀1],표2_4681015[[#This Row],[팀]])+COUNTIFS(챔스A_791118[팀2 결과],Z$39,챔스A_791118[팀2],표2_4681015[[#This Row],[팀]])</calculatedColumnFormula>
    </tableColumn>
    <tableColumn id="6" xr3:uid="{4ED72873-DBF7-42A1-90C2-9FE0A86B24CD}" name="득점" dataDxfId="29">
      <calculatedColumnFormula>SUMIF(챔스A_791118[팀1],표2_4681015[[#This Row],[팀]],챔스A_791118[팀1 S])+SUMIF(챔스A_791118[팀2],표2_4681015[[#This Row],[팀]],챔스A_791118[팀2 S])</calculatedColumnFormula>
    </tableColumn>
    <tableColumn id="7" xr3:uid="{9ADC586E-31E4-4819-90FA-643A68A6FC66}" name="실점" dataDxfId="28">
      <calculatedColumnFormula>SUMIF(챔스A_791118[팀1],표2_4681015[[#This Row],[팀]],챔스A_791118[팀2 S])+SUMIF(챔스A_791118[팀2],표2_4681015[[#This Row],[팀]],챔스A_791118[팀1 S])</calculatedColumnFormula>
    </tableColumn>
    <tableColumn id="8" xr3:uid="{913F72DD-D297-48BF-B57F-47CF6D780794}" name="득실" dataDxfId="27">
      <calculatedColumnFormula>표2_4681015[[#This Row],[득점]]-표2_4681015[[#This Row],[실점]]</calculatedColumnFormula>
    </tableColumn>
    <tableColumn id="9" xr3:uid="{91447329-37FA-4CF1-AE9D-3B7572BDA0FA}" name="승점점수" dataDxfId="26">
      <calculatedColumnFormula>표2_4681015[[#This Row],[승]]*3+표2_4681015[[#This Row],[무]]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F6FD3A-0CF2-4260-A770-F50CD9F6A1BD}" name="챔스A_791118" displayName="챔스A_791118" ref="O56:T62" totalsRowShown="0" headerRowDxfId="25" tableBorderDxfId="24">
  <autoFilter ref="O56:T62" xr:uid="{4DF6FD3A-0CF2-4260-A770-F50CD9F6A1BD}"/>
  <sortState xmlns:xlrd2="http://schemas.microsoft.com/office/spreadsheetml/2017/richdata2" ref="O57:T62">
    <sortCondition descending="1" ref="P56:P62"/>
  </sortState>
  <tableColumns count="6">
    <tableColumn id="1" xr3:uid="{9B883FE2-65DC-43B3-AE61-9A7FA36EAC2A}" name="팀1 결과" dataDxfId="23">
      <calculatedColumnFormula>IF(Q57="","",IF(Q57&gt;R57,"승",IF(Q57=R57,"무",IF(Q57&lt;R57,"패",""))))</calculatedColumnFormula>
    </tableColumn>
    <tableColumn id="2" xr3:uid="{E7AD670B-61F1-4AA5-9455-2B9AB3DCB298}" name="팀1" dataDxfId="22"/>
    <tableColumn id="3" xr3:uid="{33707094-A9C6-44CA-8794-A2D47593042C}" name="팀1 S" dataDxfId="21"/>
    <tableColumn id="4" xr3:uid="{59A3FE7E-876A-4E39-B78E-4C5B91563DBE}" name="팀2 S" dataDxfId="20"/>
    <tableColumn id="5" xr3:uid="{40CFAD1E-0A40-4983-84CF-E27E9CF411FC}" name="팀2" dataDxfId="19"/>
    <tableColumn id="6" xr3:uid="{6C767300-890A-4CEE-8EE6-A83AB533359A}" name="팀2 결과" dataDxfId="18">
      <calculatedColumnFormula>IF(O57="","",IF(O57="무","무",IF(O57="승","패","승")))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F5B9E1-371F-49B3-B2F1-4796A0DE711F}" name="표2_46810" displayName="표2_46810" ref="V46:AD49" totalsRowShown="0" headerRowDxfId="17" dataDxfId="16">
  <autoFilter ref="V46:AD49" xr:uid="{EEF5B9E1-371F-49B3-B2F1-4796A0DE711F}"/>
  <tableColumns count="9">
    <tableColumn id="1" xr3:uid="{242F2106-8ECB-4C44-A88A-1C774D609F3D}" name="팀" dataDxfId="15"/>
    <tableColumn id="2" xr3:uid="{86772F0C-6E50-4C0D-8144-329F0EDB328F}" name="경기" dataDxfId="14">
      <calculatedColumnFormula>표2_46810[[#This Row],[승]]+표2_46810[[#This Row],[무]]+표2_46810[[#This Row],[패]]</calculatedColumnFormula>
    </tableColumn>
    <tableColumn id="3" xr3:uid="{734A8FF2-C352-41D1-AD7B-FB809CCAE516}" name="승" dataDxfId="13">
      <calculatedColumnFormula>COUNTIFS(챔스A_7911[팀1 결과],X$45,챔스A_7911[팀1],표2_46810[[#This Row],[팀]])+COUNTIFS(챔스A_7911[팀2 결과],X$45,챔스A_7911[팀2],표2_46810[[#This Row],[팀]])</calculatedColumnFormula>
    </tableColumn>
    <tableColumn id="4" xr3:uid="{65C11A88-6CE0-46E7-B9E3-8F514B131964}" name="무" dataDxfId="12">
      <calculatedColumnFormula>COUNTIFS(챔스A_7911[팀1 결과],Y$45,챔스A_7911[팀1],표2_46810[[#This Row],[팀]])+COUNTIFS(챔스A_7911[팀2 결과],Y$45,챔스A_7911[팀2],표2_46810[[#This Row],[팀]])</calculatedColumnFormula>
    </tableColumn>
    <tableColumn id="5" xr3:uid="{39A8E894-9FD9-4E35-B131-98DD425C7243}" name="패" dataDxfId="11">
      <calculatedColumnFormula>COUNTIFS(챔스A_7911[팀1 결과],Z$45,챔스A_7911[팀1],표2_46810[[#This Row],[팀]])+COUNTIFS(챔스A_7911[팀2 결과],Z$45,챔스A_7911[팀2],표2_46810[[#This Row],[팀]])</calculatedColumnFormula>
    </tableColumn>
    <tableColumn id="6" xr3:uid="{5885A0F7-590E-410D-9DD7-458966C5E3CC}" name="득점" dataDxfId="10">
      <calculatedColumnFormula>SUMIF(챔스A_7911[팀1],표2_46810[[#This Row],[팀]],챔스A_7911[팀1 S])+SUMIF(챔스A_7911[팀2],표2_46810[[#This Row],[팀]],챔스A_7911[팀2 S])</calculatedColumnFormula>
    </tableColumn>
    <tableColumn id="7" xr3:uid="{D530D4D9-20E8-4675-8294-6DA57494EAB6}" name="실점" dataDxfId="9">
      <calculatedColumnFormula>SUMIF(챔스A_7911[팀1],표2_46810[[#This Row],[팀]],챔스A_7911[팀2 S])+SUMIF(챔스A_7911[팀2],표2_46810[[#This Row],[팀]],챔스A_7911[팀1 S])</calculatedColumnFormula>
    </tableColumn>
    <tableColumn id="8" xr3:uid="{E39B0713-A41A-48E7-B365-95C31F55B4FC}" name="득실" dataDxfId="8">
      <calculatedColumnFormula>표2_46810[[#This Row],[득점]]-표2_46810[[#This Row],[실점]]</calculatedColumnFormula>
    </tableColumn>
    <tableColumn id="9" xr3:uid="{5A4D45FB-33E5-41BD-840B-2BB6252B15BD}" name="승점점수" dataDxfId="7">
      <calculatedColumnFormula>표2_46810[[#This Row],[승]]*3+표2_46810[[#This Row],[무]]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A045-54AA-42B6-9713-E3D5B1C69C41}">
  <dimension ref="A1:BB38"/>
  <sheetViews>
    <sheetView zoomScale="160" zoomScaleNormal="160" workbookViewId="0">
      <selection activeCell="C7" sqref="B7:C8"/>
    </sheetView>
  </sheetViews>
  <sheetFormatPr defaultRowHeight="15.7" x14ac:dyDescent="0.3"/>
  <cols>
    <col min="1" max="1" width="53.375" customWidth="1"/>
    <col min="2" max="2" width="15.75" customWidth="1"/>
    <col min="3" max="3" width="14.375" customWidth="1"/>
    <col min="4" max="4" width="1.625" customWidth="1"/>
    <col min="5" max="5" width="16.625" customWidth="1"/>
    <col min="9" max="9" width="1.625" customWidth="1"/>
    <col min="10" max="10" width="25.75" customWidth="1"/>
  </cols>
  <sheetData>
    <row r="1" spans="1:54" ht="16.399999999999999" thickBot="1" x14ac:dyDescent="0.35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</row>
    <row r="2" spans="1:54" s="8" customFormat="1" ht="34.25" customHeight="1" thickBot="1" x14ac:dyDescent="0.35">
      <c r="A2" s="166"/>
      <c r="B2" s="221" t="s">
        <v>61</v>
      </c>
      <c r="C2" s="222"/>
      <c r="D2" s="167"/>
      <c r="E2" s="216" t="s">
        <v>0</v>
      </c>
      <c r="F2" s="217"/>
      <c r="G2" s="217"/>
      <c r="H2" s="218"/>
      <c r="I2" s="166"/>
      <c r="J2" s="219" t="s">
        <v>6</v>
      </c>
      <c r="K2" s="220"/>
      <c r="L2" s="164"/>
      <c r="M2" s="164"/>
      <c r="N2" s="164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</row>
    <row r="3" spans="1:54" ht="16.399999999999999" thickBot="1" x14ac:dyDescent="0.35">
      <c r="A3" s="164"/>
      <c r="B3" s="164"/>
      <c r="C3" s="164"/>
      <c r="D3" s="164"/>
      <c r="E3" s="164"/>
      <c r="F3" s="164"/>
      <c r="G3" s="164"/>
      <c r="H3" s="164"/>
      <c r="I3" s="164"/>
      <c r="J3" s="165"/>
      <c r="K3" s="165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</row>
    <row r="4" spans="1:54" ht="21.95" customHeight="1" thickBot="1" x14ac:dyDescent="0.35">
      <c r="A4" s="164"/>
      <c r="B4" s="3" t="s">
        <v>5</v>
      </c>
      <c r="C4" s="5" t="s">
        <v>72</v>
      </c>
      <c r="D4" s="164"/>
      <c r="E4" s="3" t="s">
        <v>62</v>
      </c>
      <c r="F4" s="5" t="s">
        <v>7</v>
      </c>
      <c r="G4" s="2" t="s">
        <v>8</v>
      </c>
      <c r="H4" s="164"/>
      <c r="I4" s="164"/>
      <c r="J4" s="223"/>
      <c r="K4" s="223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</row>
    <row r="5" spans="1:54" ht="29.25" customHeight="1" x14ac:dyDescent="0.3">
      <c r="A5" s="164"/>
      <c r="B5" s="72" t="s">
        <v>73</v>
      </c>
      <c r="C5" s="73" t="str">
        <f>'1부리그'!Q11</f>
        <v>패</v>
      </c>
      <c r="D5" s="164"/>
      <c r="E5" s="130" t="s">
        <v>58</v>
      </c>
      <c r="F5" s="131" t="str">
        <f>UCL!T57</f>
        <v>승</v>
      </c>
      <c r="G5" s="132" t="str">
        <f>UCL!T58</f>
        <v>승</v>
      </c>
      <c r="H5" s="164"/>
      <c r="I5" s="164"/>
      <c r="J5" s="125" t="s">
        <v>75</v>
      </c>
      <c r="K5" s="170" t="s">
        <v>77</v>
      </c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</row>
    <row r="6" spans="1:54" ht="29.25" customHeight="1" thickBot="1" x14ac:dyDescent="0.35">
      <c r="A6" s="164"/>
      <c r="B6" s="120" t="s">
        <v>73</v>
      </c>
      <c r="C6" s="121" t="str">
        <f>'1부리그'!Q12</f>
        <v>패</v>
      </c>
      <c r="D6" s="164"/>
      <c r="E6" s="171" t="s">
        <v>16</v>
      </c>
      <c r="F6" s="172" t="str">
        <f>UCL!O61</f>
        <v>승</v>
      </c>
      <c r="G6" s="173" t="str">
        <f>UCL!O62</f>
        <v>승</v>
      </c>
      <c r="H6" s="164"/>
      <c r="I6" s="164"/>
      <c r="J6" s="125" t="s">
        <v>76</v>
      </c>
      <c r="K6" s="170" t="s">
        <v>83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</row>
    <row r="7" spans="1:54" ht="29.25" customHeight="1" thickBot="1" x14ac:dyDescent="0.35">
      <c r="A7" s="164"/>
      <c r="B7" s="122" t="s">
        <v>47</v>
      </c>
      <c r="C7" s="178" t="str">
        <f>'1부리그'!Q13</f>
        <v>승</v>
      </c>
      <c r="D7" s="164"/>
      <c r="E7" s="174" t="s">
        <v>65</v>
      </c>
      <c r="F7" s="175"/>
      <c r="G7" s="176"/>
      <c r="H7" s="164"/>
      <c r="I7" s="164"/>
      <c r="J7" s="168" t="s">
        <v>64</v>
      </c>
      <c r="K7" s="177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</row>
    <row r="8" spans="1:54" ht="29.25" customHeight="1" thickBot="1" x14ac:dyDescent="0.35">
      <c r="A8" s="164"/>
      <c r="B8" s="179" t="s">
        <v>47</v>
      </c>
      <c r="C8" s="180" t="str">
        <f>'1부리그'!Q14</f>
        <v>패</v>
      </c>
      <c r="D8" s="164"/>
      <c r="E8" s="145" t="s">
        <v>64</v>
      </c>
      <c r="F8" s="146"/>
      <c r="G8" s="147"/>
      <c r="H8" s="164"/>
      <c r="I8" s="164"/>
      <c r="J8" s="133" t="s">
        <v>63</v>
      </c>
      <c r="K8" s="169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</row>
    <row r="9" spans="1:54" ht="29.25" customHeight="1" thickBot="1" x14ac:dyDescent="0.35">
      <c r="A9" s="164"/>
      <c r="B9" s="72" t="s">
        <v>48</v>
      </c>
      <c r="C9" s="117" t="str">
        <f>'1부리그'!Q15</f>
        <v>무</v>
      </c>
      <c r="D9" s="164"/>
      <c r="E9" s="133" t="s">
        <v>63</v>
      </c>
      <c r="F9" s="134"/>
      <c r="G9" s="135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</row>
    <row r="10" spans="1:54" ht="29.25" customHeight="1" x14ac:dyDescent="0.3">
      <c r="A10" s="164"/>
      <c r="B10" s="120" t="s">
        <v>48</v>
      </c>
      <c r="C10" s="121" t="str">
        <f>'1부리그'!Q16</f>
        <v>승</v>
      </c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</row>
    <row r="11" spans="1:54" ht="29.25" customHeight="1" x14ac:dyDescent="0.3">
      <c r="A11" s="164"/>
      <c r="B11" s="122" t="s">
        <v>54</v>
      </c>
      <c r="C11" s="124" t="str">
        <f>'1부리그'!Q17</f>
        <v>패</v>
      </c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</row>
    <row r="12" spans="1:54" ht="29.25" customHeight="1" x14ac:dyDescent="0.3">
      <c r="A12" s="164"/>
      <c r="B12" s="118" t="s">
        <v>54</v>
      </c>
      <c r="C12" s="119" t="str">
        <f>'1부리그'!Q18</f>
        <v>무</v>
      </c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</row>
    <row r="13" spans="1:54" ht="29.25" customHeight="1" x14ac:dyDescent="0.3">
      <c r="A13" s="164"/>
      <c r="B13" s="72" t="s">
        <v>12</v>
      </c>
      <c r="C13" s="6" t="str">
        <f>'1부리그'!Q19</f>
        <v>무</v>
      </c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</row>
    <row r="14" spans="1:54" ht="29.25" customHeight="1" thickBot="1" x14ac:dyDescent="0.35">
      <c r="A14" s="164"/>
      <c r="B14" s="4" t="s">
        <v>12</v>
      </c>
      <c r="C14" s="27" t="str">
        <f>'1부리그'!Q20</f>
        <v>승</v>
      </c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</row>
    <row r="15" spans="1:54" ht="21.95" customHeight="1" x14ac:dyDescent="0.3">
      <c r="A15" s="164"/>
      <c r="B15" s="164"/>
      <c r="C15" s="165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</row>
    <row r="16" spans="1:54" x14ac:dyDescent="0.3">
      <c r="A16" s="164"/>
      <c r="B16" s="164"/>
      <c r="C16" s="165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</row>
    <row r="17" spans="1:54" x14ac:dyDescent="0.3">
      <c r="A17" s="164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</row>
    <row r="18" spans="1:54" x14ac:dyDescent="0.3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</row>
    <row r="19" spans="1:54" x14ac:dyDescent="0.3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</row>
    <row r="20" spans="1:54" x14ac:dyDescent="0.3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</row>
    <row r="21" spans="1:54" x14ac:dyDescent="0.3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</row>
    <row r="22" spans="1:54" x14ac:dyDescent="0.3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</row>
    <row r="23" spans="1:54" x14ac:dyDescent="0.3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</row>
    <row r="24" spans="1:54" x14ac:dyDescent="0.3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</row>
    <row r="25" spans="1:54" x14ac:dyDescent="0.3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</row>
    <row r="26" spans="1:54" x14ac:dyDescent="0.3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</row>
    <row r="27" spans="1:54" ht="285.35000000000002" customHeight="1" x14ac:dyDescent="0.3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</row>
    <row r="28" spans="1:54" ht="285.35000000000002" customHeight="1" x14ac:dyDescent="0.3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</row>
    <row r="29" spans="1:54" ht="285.35000000000002" customHeight="1" x14ac:dyDescent="0.3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</row>
    <row r="30" spans="1:54" x14ac:dyDescent="0.3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</row>
    <row r="31" spans="1:54" x14ac:dyDescent="0.3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</row>
    <row r="32" spans="1:54" x14ac:dyDescent="0.3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</row>
    <row r="33" spans="1:54" x14ac:dyDescent="0.3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</row>
    <row r="34" spans="1:54" x14ac:dyDescent="0.3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</row>
    <row r="35" spans="1:54" x14ac:dyDescent="0.3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</row>
    <row r="36" spans="1:54" x14ac:dyDescent="0.3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</row>
    <row r="37" spans="1:54" x14ac:dyDescent="0.3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</row>
    <row r="38" spans="1:54" x14ac:dyDescent="0.3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</row>
  </sheetData>
  <mergeCells count="4">
    <mergeCell ref="E2:H2"/>
    <mergeCell ref="J2:K2"/>
    <mergeCell ref="B2:C2"/>
    <mergeCell ref="J4:K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A40C-8397-4675-9EB2-9D3A9E46627C}">
  <dimension ref="B1:U230"/>
  <sheetViews>
    <sheetView showGridLines="0" tabSelected="1" zoomScale="130" zoomScaleNormal="130" workbookViewId="0">
      <selection activeCell="D3" sqref="D3:D8"/>
    </sheetView>
  </sheetViews>
  <sheetFormatPr defaultRowHeight="15.7" x14ac:dyDescent="0.3"/>
  <cols>
    <col min="1" max="1" width="2.625" customWidth="1"/>
    <col min="2" max="2" width="6.25" customWidth="1"/>
    <col min="3" max="3" width="14.625" customWidth="1"/>
    <col min="4" max="4" width="6.5" customWidth="1"/>
    <col min="5" max="5" width="9" customWidth="1"/>
    <col min="6" max="8" width="6.125" customWidth="1"/>
    <col min="9" max="10" width="6.5" customWidth="1"/>
    <col min="11" max="11" width="8.375" customWidth="1"/>
    <col min="12" max="12" width="2.625" customWidth="1"/>
    <col min="13" max="14" width="10.875" customWidth="1"/>
    <col min="15" max="15" width="2.625" customWidth="1"/>
    <col min="16" max="16" width="4.625" customWidth="1"/>
    <col min="18" max="18" width="15.875" customWidth="1"/>
    <col min="21" max="21" width="15.875" customWidth="1"/>
  </cols>
  <sheetData>
    <row r="1" spans="2:21" ht="16.399999999999999" thickBot="1" x14ac:dyDescent="0.35"/>
    <row r="2" spans="2:21" ht="15.7" customHeight="1" thickBot="1" x14ac:dyDescent="0.35">
      <c r="B2" s="77" t="s">
        <v>35</v>
      </c>
      <c r="C2" s="94" t="s">
        <v>5</v>
      </c>
      <c r="D2" s="78" t="s">
        <v>36</v>
      </c>
      <c r="E2" s="79" t="s">
        <v>33</v>
      </c>
      <c r="F2" s="80" t="s">
        <v>4</v>
      </c>
      <c r="G2" s="80" t="s">
        <v>2</v>
      </c>
      <c r="H2" s="80" t="s">
        <v>10</v>
      </c>
      <c r="I2" s="81" t="s">
        <v>26</v>
      </c>
      <c r="J2" s="80" t="s">
        <v>28</v>
      </c>
      <c r="K2" s="78" t="s">
        <v>30</v>
      </c>
      <c r="M2" s="45" t="s">
        <v>46</v>
      </c>
      <c r="N2" s="43" t="s">
        <v>49</v>
      </c>
    </row>
    <row r="3" spans="2:21" ht="27.1" customHeight="1" thickBot="1" x14ac:dyDescent="0.35">
      <c r="B3" s="63">
        <v>1</v>
      </c>
      <c r="C3" s="99" t="str" cm="1">
        <f t="array" ref="C3:K8">_xlfn._xlws.SORT(_xlfn._xlws.SORT(_xlfn._xlws.SORT(_xlfn._xlws.SORT((_xlfn._xlws.FILTER(표1부리그[],표1부리그[경기]&gt;(-1),)),9,-1),7,-1),8,1),2,-1)</f>
        <v>도르트문트</v>
      </c>
      <c r="D3" s="60">
        <v>21</v>
      </c>
      <c r="E3" s="42">
        <v>10</v>
      </c>
      <c r="F3" s="40">
        <v>7</v>
      </c>
      <c r="G3" s="40">
        <v>0</v>
      </c>
      <c r="H3" s="40">
        <v>3</v>
      </c>
      <c r="I3" s="41">
        <v>31</v>
      </c>
      <c r="J3" s="40">
        <v>26</v>
      </c>
      <c r="K3" s="64">
        <v>5</v>
      </c>
      <c r="M3" s="69">
        <f>IFERROR(D3/E3,0)</f>
        <v>2.1</v>
      </c>
      <c r="N3" s="83">
        <f>(10-E3)*3+D3</f>
        <v>21</v>
      </c>
    </row>
    <row r="4" spans="2:21" ht="27.1" customHeight="1" thickBot="1" x14ac:dyDescent="0.35">
      <c r="B4" s="65">
        <v>2</v>
      </c>
      <c r="C4" s="95" t="str">
        <v>비야레알</v>
      </c>
      <c r="D4" s="61">
        <v>15</v>
      </c>
      <c r="E4" s="35">
        <v>8</v>
      </c>
      <c r="F4" s="33">
        <v>4</v>
      </c>
      <c r="G4" s="33">
        <v>3</v>
      </c>
      <c r="H4" s="33">
        <v>1</v>
      </c>
      <c r="I4" s="34">
        <v>20</v>
      </c>
      <c r="J4" s="33">
        <v>15</v>
      </c>
      <c r="K4" s="66">
        <v>5</v>
      </c>
      <c r="M4" s="70">
        <f t="shared" ref="M4:M8" si="0">IFERROR(D4/E4,0)</f>
        <v>1.875</v>
      </c>
      <c r="N4" s="97">
        <f t="shared" ref="N4:N8" si="1">(10-E4)*3+D4</f>
        <v>21</v>
      </c>
    </row>
    <row r="5" spans="2:21" ht="27.1" customHeight="1" thickBot="1" x14ac:dyDescent="0.35">
      <c r="B5" s="67">
        <v>3</v>
      </c>
      <c r="C5" s="96" t="str">
        <v>맨유</v>
      </c>
      <c r="D5" s="62">
        <v>12</v>
      </c>
      <c r="E5" s="31">
        <v>8</v>
      </c>
      <c r="F5" s="29">
        <v>3</v>
      </c>
      <c r="G5" s="29">
        <v>3</v>
      </c>
      <c r="H5" s="29">
        <v>2</v>
      </c>
      <c r="I5" s="30">
        <v>17</v>
      </c>
      <c r="J5" s="29">
        <v>15</v>
      </c>
      <c r="K5" s="68">
        <v>2</v>
      </c>
      <c r="M5" s="71">
        <f t="shared" si="0"/>
        <v>1.5</v>
      </c>
      <c r="N5" s="98">
        <f t="shared" si="1"/>
        <v>18</v>
      </c>
    </row>
    <row r="6" spans="2:21" ht="27.1" customHeight="1" thickBot="1" x14ac:dyDescent="0.35">
      <c r="B6" s="65">
        <v>4</v>
      </c>
      <c r="C6" s="95" t="str">
        <v>인테르</v>
      </c>
      <c r="D6" s="61">
        <v>12</v>
      </c>
      <c r="E6" s="35">
        <v>10</v>
      </c>
      <c r="F6" s="33">
        <v>3</v>
      </c>
      <c r="G6" s="33">
        <v>3</v>
      </c>
      <c r="H6" s="33">
        <v>4</v>
      </c>
      <c r="I6" s="34">
        <v>18</v>
      </c>
      <c r="J6" s="33">
        <v>20</v>
      </c>
      <c r="K6" s="66">
        <v>-2</v>
      </c>
      <c r="M6" s="70">
        <f t="shared" si="0"/>
        <v>1.2</v>
      </c>
      <c r="N6" s="97">
        <f t="shared" si="1"/>
        <v>12</v>
      </c>
    </row>
    <row r="7" spans="2:21" ht="27.1" customHeight="1" thickBot="1" x14ac:dyDescent="0.35">
      <c r="B7" s="67">
        <v>5</v>
      </c>
      <c r="C7" s="96" t="str">
        <v>뮌헨</v>
      </c>
      <c r="D7" s="62">
        <v>4</v>
      </c>
      <c r="E7" s="31">
        <v>4</v>
      </c>
      <c r="F7" s="29">
        <v>1</v>
      </c>
      <c r="G7" s="29">
        <v>1</v>
      </c>
      <c r="H7" s="29">
        <v>2</v>
      </c>
      <c r="I7" s="30">
        <v>7</v>
      </c>
      <c r="J7" s="29">
        <v>8</v>
      </c>
      <c r="K7" s="68">
        <v>-1</v>
      </c>
      <c r="M7" s="71">
        <f t="shared" si="0"/>
        <v>1</v>
      </c>
      <c r="N7" s="98">
        <f t="shared" si="1"/>
        <v>22</v>
      </c>
    </row>
    <row r="8" spans="2:21" ht="27.1" customHeight="1" thickBot="1" x14ac:dyDescent="0.35">
      <c r="B8" s="74">
        <v>6</v>
      </c>
      <c r="C8" s="100" t="str">
        <v>뉴캐슬</v>
      </c>
      <c r="D8" s="75">
        <v>3</v>
      </c>
      <c r="E8" s="58">
        <v>8</v>
      </c>
      <c r="F8" s="56">
        <v>1</v>
      </c>
      <c r="G8" s="56">
        <v>0</v>
      </c>
      <c r="H8" s="56">
        <v>7</v>
      </c>
      <c r="I8" s="57">
        <v>14</v>
      </c>
      <c r="J8" s="56">
        <v>23</v>
      </c>
      <c r="K8" s="76">
        <v>-9</v>
      </c>
      <c r="M8" s="70">
        <f t="shared" si="0"/>
        <v>0.375</v>
      </c>
      <c r="N8" s="97">
        <f t="shared" si="1"/>
        <v>9</v>
      </c>
    </row>
    <row r="9" spans="2:21" ht="15" customHeight="1" x14ac:dyDescent="0.3"/>
    <row r="10" spans="2:21" ht="21.6" customHeight="1" x14ac:dyDescent="0.3">
      <c r="P10" s="9" t="s">
        <v>51</v>
      </c>
      <c r="Q10" s="10" t="s">
        <v>50</v>
      </c>
      <c r="R10" s="10" t="s">
        <v>52</v>
      </c>
      <c r="S10" s="10" t="s">
        <v>26</v>
      </c>
      <c r="T10" s="10" t="s">
        <v>28</v>
      </c>
      <c r="U10" s="11" t="s">
        <v>53</v>
      </c>
    </row>
    <row r="11" spans="2:21" ht="27.1" customHeight="1" x14ac:dyDescent="0.3">
      <c r="P11" s="154">
        <v>1</v>
      </c>
      <c r="Q11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11" s="160" t="s">
        <v>11</v>
      </c>
      <c r="S11" s="160">
        <v>2</v>
      </c>
      <c r="T11" s="160">
        <v>4</v>
      </c>
      <c r="U11" s="161" t="s">
        <v>73</v>
      </c>
    </row>
    <row r="12" spans="2:21" ht="27.1" customHeight="1" x14ac:dyDescent="0.3">
      <c r="P12" s="151">
        <v>2</v>
      </c>
      <c r="Q1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12" s="158" t="s">
        <v>11</v>
      </c>
      <c r="S12" s="158">
        <v>2</v>
      </c>
      <c r="T12" s="158">
        <v>3</v>
      </c>
      <c r="U12" s="159" t="s">
        <v>73</v>
      </c>
    </row>
    <row r="13" spans="2:21" ht="27.1" customHeight="1" x14ac:dyDescent="0.3">
      <c r="P13" s="154">
        <v>3</v>
      </c>
      <c r="Q1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13" s="160" t="s">
        <v>11</v>
      </c>
      <c r="S13" s="160">
        <v>2</v>
      </c>
      <c r="T13" s="160">
        <v>0</v>
      </c>
      <c r="U13" s="161" t="s">
        <v>47</v>
      </c>
    </row>
    <row r="14" spans="2:21" ht="27.1" customHeight="1" x14ac:dyDescent="0.3">
      <c r="P14" s="151">
        <v>4</v>
      </c>
      <c r="Q1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14" s="158" t="s">
        <v>11</v>
      </c>
      <c r="S14" s="158">
        <v>1</v>
      </c>
      <c r="T14" s="158">
        <v>3</v>
      </c>
      <c r="U14" s="159" t="s">
        <v>47</v>
      </c>
    </row>
    <row r="15" spans="2:21" ht="27.1" customHeight="1" x14ac:dyDescent="0.3">
      <c r="P15" s="154">
        <v>5</v>
      </c>
      <c r="Q1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15" s="160" t="s">
        <v>11</v>
      </c>
      <c r="S15" s="160">
        <v>2</v>
      </c>
      <c r="T15" s="160">
        <v>2</v>
      </c>
      <c r="U15" s="161" t="s">
        <v>48</v>
      </c>
    </row>
    <row r="16" spans="2:21" ht="27.1" customHeight="1" x14ac:dyDescent="0.3">
      <c r="P16" s="151">
        <v>6</v>
      </c>
      <c r="Q1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16" s="158" t="s">
        <v>11</v>
      </c>
      <c r="S16" s="158">
        <v>1</v>
      </c>
      <c r="T16" s="158">
        <v>0</v>
      </c>
      <c r="U16" s="159" t="s">
        <v>48</v>
      </c>
    </row>
    <row r="17" spans="16:21" ht="27.1" customHeight="1" x14ac:dyDescent="0.3">
      <c r="P17" s="154">
        <v>7</v>
      </c>
      <c r="Q1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17" s="160" t="s">
        <v>11</v>
      </c>
      <c r="S17" s="160">
        <v>1</v>
      </c>
      <c r="T17" s="160">
        <v>3</v>
      </c>
      <c r="U17" s="161" t="s">
        <v>54</v>
      </c>
    </row>
    <row r="18" spans="16:21" ht="27.1" customHeight="1" x14ac:dyDescent="0.3">
      <c r="P18" s="151">
        <v>8</v>
      </c>
      <c r="Q1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18" s="158" t="s">
        <v>11</v>
      </c>
      <c r="S18" s="158">
        <v>3</v>
      </c>
      <c r="T18" s="158">
        <v>3</v>
      </c>
      <c r="U18" s="159" t="s">
        <v>54</v>
      </c>
    </row>
    <row r="19" spans="16:21" ht="27.1" customHeight="1" x14ac:dyDescent="0.3">
      <c r="P19" s="154">
        <v>9</v>
      </c>
      <c r="Q1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19" s="160" t="s">
        <v>11</v>
      </c>
      <c r="S19" s="160">
        <v>2</v>
      </c>
      <c r="T19" s="160">
        <v>2</v>
      </c>
      <c r="U19" s="161" t="s">
        <v>12</v>
      </c>
    </row>
    <row r="20" spans="16:21" ht="27.1" customHeight="1" x14ac:dyDescent="0.3">
      <c r="P20" s="16">
        <v>10</v>
      </c>
      <c r="Q20" s="9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20" s="90" t="s">
        <v>11</v>
      </c>
      <c r="S20" s="90">
        <v>2</v>
      </c>
      <c r="T20" s="90">
        <v>0</v>
      </c>
      <c r="U20" s="91" t="s">
        <v>12</v>
      </c>
    </row>
    <row r="21" spans="16:21" ht="27.1" hidden="1" customHeight="1" x14ac:dyDescent="0.3">
      <c r="P21" s="26">
        <v>11</v>
      </c>
      <c r="Q21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1" s="92" t="s">
        <v>47</v>
      </c>
      <c r="S21" s="92">
        <v>3</v>
      </c>
      <c r="T21" s="92">
        <v>4</v>
      </c>
      <c r="U21" s="101" t="s">
        <v>73</v>
      </c>
    </row>
    <row r="22" spans="16:21" ht="27.1" hidden="1" customHeight="1" x14ac:dyDescent="0.3">
      <c r="P22" s="148">
        <v>12</v>
      </c>
      <c r="Q2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2" s="158" t="s">
        <v>47</v>
      </c>
      <c r="S22" s="158">
        <v>3</v>
      </c>
      <c r="T22" s="158">
        <v>4</v>
      </c>
      <c r="U22" s="162" t="s">
        <v>73</v>
      </c>
    </row>
    <row r="23" spans="16:21" ht="27.1" hidden="1" customHeight="1" x14ac:dyDescent="0.3">
      <c r="P23" s="152">
        <v>13</v>
      </c>
      <c r="Q2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3" s="160" t="s">
        <v>47</v>
      </c>
      <c r="S23" s="160">
        <v>2</v>
      </c>
      <c r="T23" s="160">
        <v>3</v>
      </c>
      <c r="U23" s="163" t="s">
        <v>48</v>
      </c>
    </row>
    <row r="24" spans="16:21" ht="27.1" hidden="1" customHeight="1" x14ac:dyDescent="0.3">
      <c r="P24" s="148">
        <v>14</v>
      </c>
      <c r="Q2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4" s="158" t="s">
        <v>47</v>
      </c>
      <c r="S24" s="158">
        <v>1</v>
      </c>
      <c r="T24" s="158">
        <v>4</v>
      </c>
      <c r="U24" s="162" t="s">
        <v>48</v>
      </c>
    </row>
    <row r="25" spans="16:21" ht="27.1" hidden="1" customHeight="1" x14ac:dyDescent="0.3">
      <c r="P25" s="152">
        <v>15</v>
      </c>
      <c r="Q2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5" s="160" t="s">
        <v>47</v>
      </c>
      <c r="S25" s="160">
        <v>0</v>
      </c>
      <c r="T25" s="160">
        <v>2</v>
      </c>
      <c r="U25" s="163" t="s">
        <v>11</v>
      </c>
    </row>
    <row r="26" spans="16:21" ht="27.1" hidden="1" customHeight="1" x14ac:dyDescent="0.3">
      <c r="P26" s="148">
        <v>16</v>
      </c>
      <c r="Q2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26" s="158" t="s">
        <v>47</v>
      </c>
      <c r="S26" s="158">
        <v>3</v>
      </c>
      <c r="T26" s="158">
        <v>1</v>
      </c>
      <c r="U26" s="162" t="s">
        <v>11</v>
      </c>
    </row>
    <row r="27" spans="16:21" ht="27.1" hidden="1" customHeight="1" x14ac:dyDescent="0.3">
      <c r="P27" s="152">
        <v>17</v>
      </c>
      <c r="Q2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7" s="160" t="s">
        <v>47</v>
      </c>
      <c r="S27" s="160">
        <v>1</v>
      </c>
      <c r="T27" s="160">
        <v>3</v>
      </c>
      <c r="U27" s="163" t="s">
        <v>54</v>
      </c>
    </row>
    <row r="28" spans="16:21" ht="27.1" hidden="1" customHeight="1" x14ac:dyDescent="0.3">
      <c r="P28" s="148">
        <v>18</v>
      </c>
      <c r="Q2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28" s="158" t="s">
        <v>47</v>
      </c>
      <c r="S28" s="158">
        <v>1</v>
      </c>
      <c r="T28" s="158">
        <v>2</v>
      </c>
      <c r="U28" s="162" t="s">
        <v>54</v>
      </c>
    </row>
    <row r="29" spans="16:21" ht="27.1" hidden="1" customHeight="1" x14ac:dyDescent="0.3">
      <c r="P29" s="152">
        <v>19</v>
      </c>
      <c r="Q2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9" s="160" t="s">
        <v>47</v>
      </c>
      <c r="S29" s="160"/>
      <c r="T29" s="160"/>
      <c r="U29" s="163" t="s">
        <v>12</v>
      </c>
    </row>
    <row r="30" spans="16:21" ht="27.1" hidden="1" customHeight="1" thickBot="1" x14ac:dyDescent="0.35">
      <c r="P30" s="23">
        <v>20</v>
      </c>
      <c r="Q30" s="93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0" s="93" t="s">
        <v>47</v>
      </c>
      <c r="S30" s="93"/>
      <c r="T30" s="93"/>
      <c r="U30" s="103" t="s">
        <v>12</v>
      </c>
    </row>
    <row r="31" spans="16:21" ht="27.1" hidden="1" customHeight="1" x14ac:dyDescent="0.3">
      <c r="P31" s="12">
        <v>21</v>
      </c>
      <c r="Q31" s="86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31" s="86" t="s">
        <v>48</v>
      </c>
      <c r="S31" s="86">
        <v>0</v>
      </c>
      <c r="T31" s="86">
        <v>4</v>
      </c>
      <c r="U31" s="87" t="s">
        <v>73</v>
      </c>
    </row>
    <row r="32" spans="16:21" ht="27.1" hidden="1" customHeight="1" x14ac:dyDescent="0.3">
      <c r="P32" s="151">
        <v>22</v>
      </c>
      <c r="Q3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32" s="158" t="s">
        <v>48</v>
      </c>
      <c r="S32" s="158">
        <v>5</v>
      </c>
      <c r="T32" s="158">
        <v>2</v>
      </c>
      <c r="U32" s="159" t="s">
        <v>73</v>
      </c>
    </row>
    <row r="33" spans="16:21" ht="27.1" hidden="1" customHeight="1" x14ac:dyDescent="0.3">
      <c r="P33" s="154">
        <v>23</v>
      </c>
      <c r="Q3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33" s="160" t="s">
        <v>48</v>
      </c>
      <c r="S33" s="160">
        <v>3</v>
      </c>
      <c r="T33" s="160">
        <v>2</v>
      </c>
      <c r="U33" s="161" t="s">
        <v>47</v>
      </c>
    </row>
    <row r="34" spans="16:21" ht="27.1" hidden="1" customHeight="1" x14ac:dyDescent="0.3">
      <c r="P34" s="151">
        <v>24</v>
      </c>
      <c r="Q3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34" s="158" t="s">
        <v>48</v>
      </c>
      <c r="S34" s="158">
        <v>4</v>
      </c>
      <c r="T34" s="158">
        <v>1</v>
      </c>
      <c r="U34" s="159" t="s">
        <v>47</v>
      </c>
    </row>
    <row r="35" spans="16:21" ht="27.1" hidden="1" customHeight="1" x14ac:dyDescent="0.3">
      <c r="P35" s="154">
        <v>25</v>
      </c>
      <c r="Q3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35" s="160" t="s">
        <v>48</v>
      </c>
      <c r="S35" s="160">
        <v>2</v>
      </c>
      <c r="T35" s="160">
        <v>2</v>
      </c>
      <c r="U35" s="161" t="s">
        <v>11</v>
      </c>
    </row>
    <row r="36" spans="16:21" ht="27.1" hidden="1" customHeight="1" x14ac:dyDescent="0.3">
      <c r="P36" s="151">
        <v>26</v>
      </c>
      <c r="Q3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36" s="158" t="s">
        <v>48</v>
      </c>
      <c r="S36" s="158">
        <v>0</v>
      </c>
      <c r="T36" s="158">
        <v>1</v>
      </c>
      <c r="U36" s="159" t="s">
        <v>11</v>
      </c>
    </row>
    <row r="37" spans="16:21" ht="27.1" hidden="1" customHeight="1" x14ac:dyDescent="0.3">
      <c r="P37" s="154">
        <v>27</v>
      </c>
      <c r="Q3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37" s="160" t="s">
        <v>48</v>
      </c>
      <c r="S37" s="160">
        <v>2</v>
      </c>
      <c r="T37" s="160">
        <v>2</v>
      </c>
      <c r="U37" s="161" t="s">
        <v>54</v>
      </c>
    </row>
    <row r="38" spans="16:21" ht="27.1" hidden="1" customHeight="1" x14ac:dyDescent="0.3">
      <c r="P38" s="151">
        <v>28</v>
      </c>
      <c r="Q3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38" s="158" t="s">
        <v>48</v>
      </c>
      <c r="S38" s="158">
        <v>1</v>
      </c>
      <c r="T38" s="158">
        <v>1</v>
      </c>
      <c r="U38" s="159" t="s">
        <v>54</v>
      </c>
    </row>
    <row r="39" spans="16:21" ht="27.1" hidden="1" customHeight="1" x14ac:dyDescent="0.3">
      <c r="P39" s="154">
        <v>29</v>
      </c>
      <c r="Q3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9" s="160" t="s">
        <v>48</v>
      </c>
      <c r="S39" s="160"/>
      <c r="T39" s="160"/>
      <c r="U39" s="161" t="s">
        <v>12</v>
      </c>
    </row>
    <row r="40" spans="16:21" ht="27.1" hidden="1" customHeight="1" x14ac:dyDescent="0.3">
      <c r="P40" s="16">
        <v>30</v>
      </c>
      <c r="Q40" s="9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0" s="90" t="s">
        <v>48</v>
      </c>
      <c r="S40" s="90"/>
      <c r="T40" s="90"/>
      <c r="U40" s="91" t="s">
        <v>12</v>
      </c>
    </row>
    <row r="41" spans="16:21" ht="27.1" hidden="1" customHeight="1" x14ac:dyDescent="0.3">
      <c r="P41" s="26">
        <v>31</v>
      </c>
      <c r="Q41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1" s="92" t="s">
        <v>73</v>
      </c>
      <c r="S41" s="92">
        <v>4</v>
      </c>
      <c r="T41" s="92">
        <v>3</v>
      </c>
      <c r="U41" s="101" t="s">
        <v>47</v>
      </c>
    </row>
    <row r="42" spans="16:21" ht="27.1" hidden="1" customHeight="1" x14ac:dyDescent="0.3">
      <c r="P42" s="148">
        <v>32</v>
      </c>
      <c r="Q4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2" s="158" t="s">
        <v>73</v>
      </c>
      <c r="S42" s="158">
        <v>4</v>
      </c>
      <c r="T42" s="158">
        <v>3</v>
      </c>
      <c r="U42" s="162" t="s">
        <v>47</v>
      </c>
    </row>
    <row r="43" spans="16:21" ht="27.1" hidden="1" customHeight="1" x14ac:dyDescent="0.3">
      <c r="P43" s="152">
        <v>33</v>
      </c>
      <c r="Q4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3" s="160" t="s">
        <v>73</v>
      </c>
      <c r="S43" s="160">
        <v>4</v>
      </c>
      <c r="T43" s="160">
        <v>0</v>
      </c>
      <c r="U43" s="163" t="s">
        <v>48</v>
      </c>
    </row>
    <row r="44" spans="16:21" ht="27.1" hidden="1" customHeight="1" x14ac:dyDescent="0.3">
      <c r="P44" s="148">
        <v>34</v>
      </c>
      <c r="Q4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44" s="158" t="s">
        <v>73</v>
      </c>
      <c r="S44" s="158">
        <v>2</v>
      </c>
      <c r="T44" s="158">
        <v>5</v>
      </c>
      <c r="U44" s="162" t="s">
        <v>48</v>
      </c>
    </row>
    <row r="45" spans="16:21" ht="27.1" hidden="1" customHeight="1" x14ac:dyDescent="0.3">
      <c r="P45" s="152">
        <v>35</v>
      </c>
      <c r="Q4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5" s="160" t="s">
        <v>73</v>
      </c>
      <c r="S45" s="160">
        <v>4</v>
      </c>
      <c r="T45" s="160">
        <v>2</v>
      </c>
      <c r="U45" s="163" t="s">
        <v>11</v>
      </c>
    </row>
    <row r="46" spans="16:21" ht="27.1" hidden="1" customHeight="1" x14ac:dyDescent="0.3">
      <c r="P46" s="148">
        <v>36</v>
      </c>
      <c r="Q4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6" s="158" t="s">
        <v>73</v>
      </c>
      <c r="S46" s="158">
        <v>3</v>
      </c>
      <c r="T46" s="158">
        <v>2</v>
      </c>
      <c r="U46" s="162" t="s">
        <v>11</v>
      </c>
    </row>
    <row r="47" spans="16:21" ht="27.1" hidden="1" customHeight="1" x14ac:dyDescent="0.3">
      <c r="P47" s="152">
        <v>37</v>
      </c>
      <c r="Q4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47" s="160" t="s">
        <v>73</v>
      </c>
      <c r="S47" s="160">
        <v>2</v>
      </c>
      <c r="T47" s="160">
        <v>3</v>
      </c>
      <c r="U47" s="163" t="s">
        <v>54</v>
      </c>
    </row>
    <row r="48" spans="16:21" ht="27.1" hidden="1" customHeight="1" x14ac:dyDescent="0.3">
      <c r="P48" s="148">
        <v>38</v>
      </c>
      <c r="Q4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8" s="158" t="s">
        <v>73</v>
      </c>
      <c r="S48" s="158">
        <v>4</v>
      </c>
      <c r="T48" s="158">
        <v>3</v>
      </c>
      <c r="U48" s="162" t="s">
        <v>54</v>
      </c>
    </row>
    <row r="49" spans="16:21" ht="27.1" hidden="1" customHeight="1" x14ac:dyDescent="0.3">
      <c r="P49" s="152">
        <v>39</v>
      </c>
      <c r="Q4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49" s="160" t="s">
        <v>73</v>
      </c>
      <c r="S49" s="160">
        <v>4</v>
      </c>
      <c r="T49" s="160">
        <v>2</v>
      </c>
      <c r="U49" s="163" t="s">
        <v>12</v>
      </c>
    </row>
    <row r="50" spans="16:21" ht="27.1" hidden="1" customHeight="1" thickBot="1" x14ac:dyDescent="0.35">
      <c r="P50" s="23">
        <v>40</v>
      </c>
      <c r="Q50" s="93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50" s="93" t="s">
        <v>73</v>
      </c>
      <c r="S50" s="93">
        <v>0</v>
      </c>
      <c r="T50" s="93">
        <v>3</v>
      </c>
      <c r="U50" s="103" t="s">
        <v>12</v>
      </c>
    </row>
    <row r="51" spans="16:21" ht="27.1" hidden="1" customHeight="1" x14ac:dyDescent="0.3">
      <c r="P51" s="26">
        <v>41</v>
      </c>
      <c r="Q51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51" s="92" t="s">
        <v>54</v>
      </c>
      <c r="S51" s="92">
        <v>3</v>
      </c>
      <c r="T51" s="92">
        <v>2</v>
      </c>
      <c r="U51" s="101" t="s">
        <v>73</v>
      </c>
    </row>
    <row r="52" spans="16:21" ht="27.1" hidden="1" customHeight="1" x14ac:dyDescent="0.3">
      <c r="P52" s="148">
        <v>42</v>
      </c>
      <c r="Q5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52" s="158" t="s">
        <v>54</v>
      </c>
      <c r="S52" s="158">
        <v>3</v>
      </c>
      <c r="T52" s="158">
        <v>4</v>
      </c>
      <c r="U52" s="162" t="s">
        <v>73</v>
      </c>
    </row>
    <row r="53" spans="16:21" ht="27.1" hidden="1" customHeight="1" x14ac:dyDescent="0.3">
      <c r="P53" s="152">
        <v>43</v>
      </c>
      <c r="Q5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53" s="160" t="s">
        <v>54</v>
      </c>
      <c r="S53" s="160">
        <v>3</v>
      </c>
      <c r="T53" s="160">
        <v>1</v>
      </c>
      <c r="U53" s="163" t="s">
        <v>47</v>
      </c>
    </row>
    <row r="54" spans="16:21" ht="27.1" hidden="1" customHeight="1" x14ac:dyDescent="0.3">
      <c r="P54" s="148">
        <v>44</v>
      </c>
      <c r="Q5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54" s="158" t="s">
        <v>54</v>
      </c>
      <c r="S54" s="158">
        <v>2</v>
      </c>
      <c r="T54" s="158">
        <v>1</v>
      </c>
      <c r="U54" s="162" t="s">
        <v>47</v>
      </c>
    </row>
    <row r="55" spans="16:21" ht="27.1" hidden="1" customHeight="1" x14ac:dyDescent="0.3">
      <c r="P55" s="152">
        <v>45</v>
      </c>
      <c r="Q5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55" s="160" t="s">
        <v>54</v>
      </c>
      <c r="S55" s="160">
        <v>2</v>
      </c>
      <c r="T55" s="160">
        <v>2</v>
      </c>
      <c r="U55" s="163" t="s">
        <v>48</v>
      </c>
    </row>
    <row r="56" spans="16:21" ht="27.1" hidden="1" customHeight="1" x14ac:dyDescent="0.3">
      <c r="P56" s="148">
        <v>46</v>
      </c>
      <c r="Q5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56" s="158" t="s">
        <v>54</v>
      </c>
      <c r="S56" s="158">
        <v>1</v>
      </c>
      <c r="T56" s="158">
        <v>1</v>
      </c>
      <c r="U56" s="162" t="s">
        <v>48</v>
      </c>
    </row>
    <row r="57" spans="16:21" ht="27.1" hidden="1" customHeight="1" x14ac:dyDescent="0.3">
      <c r="P57" s="152">
        <v>47</v>
      </c>
      <c r="Q5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57" s="160" t="s">
        <v>54</v>
      </c>
      <c r="S57" s="160">
        <v>3</v>
      </c>
      <c r="T57" s="160">
        <v>1</v>
      </c>
      <c r="U57" s="163" t="s">
        <v>11</v>
      </c>
    </row>
    <row r="58" spans="16:21" ht="27.1" hidden="1" customHeight="1" x14ac:dyDescent="0.3">
      <c r="P58" s="148">
        <v>48</v>
      </c>
      <c r="Q5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58" s="158" t="s">
        <v>54</v>
      </c>
      <c r="S58" s="158">
        <v>3</v>
      </c>
      <c r="T58" s="158">
        <v>3</v>
      </c>
      <c r="U58" s="162" t="s">
        <v>11</v>
      </c>
    </row>
    <row r="59" spans="16:21" ht="27.1" hidden="1" customHeight="1" x14ac:dyDescent="0.3">
      <c r="P59" s="152">
        <v>49</v>
      </c>
      <c r="Q5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9" s="160" t="s">
        <v>54</v>
      </c>
      <c r="S59" s="160"/>
      <c r="T59" s="160"/>
      <c r="U59" s="163" t="s">
        <v>12</v>
      </c>
    </row>
    <row r="60" spans="16:21" ht="27.1" hidden="1" customHeight="1" thickBot="1" x14ac:dyDescent="0.35">
      <c r="P60" s="23">
        <v>50</v>
      </c>
      <c r="Q60" s="93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0" s="93" t="s">
        <v>54</v>
      </c>
      <c r="S60" s="93"/>
      <c r="T60" s="93"/>
      <c r="U60" s="103" t="s">
        <v>12</v>
      </c>
    </row>
    <row r="61" spans="16:21" ht="27.1" hidden="1" customHeight="1" x14ac:dyDescent="0.3">
      <c r="P61" s="12">
        <v>51</v>
      </c>
      <c r="Q61" s="86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61" s="86" t="s">
        <v>12</v>
      </c>
      <c r="S61" s="86">
        <v>2</v>
      </c>
      <c r="T61" s="86">
        <v>4</v>
      </c>
      <c r="U61" s="87" t="s">
        <v>73</v>
      </c>
    </row>
    <row r="62" spans="16:21" ht="27.1" hidden="1" customHeight="1" x14ac:dyDescent="0.3">
      <c r="P62" s="151">
        <v>52</v>
      </c>
      <c r="Q62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승</v>
      </c>
      <c r="R62" s="158" t="s">
        <v>12</v>
      </c>
      <c r="S62" s="158">
        <v>3</v>
      </c>
      <c r="T62" s="158">
        <v>0</v>
      </c>
      <c r="U62" s="159" t="s">
        <v>73</v>
      </c>
    </row>
    <row r="63" spans="16:21" ht="27.1" hidden="1" customHeight="1" x14ac:dyDescent="0.3">
      <c r="P63" s="154">
        <v>53</v>
      </c>
      <c r="Q63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3" s="160" t="s">
        <v>12</v>
      </c>
      <c r="S63" s="160"/>
      <c r="T63" s="160"/>
      <c r="U63" s="161" t="s">
        <v>47</v>
      </c>
    </row>
    <row r="64" spans="16:21" ht="27.1" hidden="1" customHeight="1" x14ac:dyDescent="0.3">
      <c r="P64" s="151">
        <v>54</v>
      </c>
      <c r="Q64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4" s="158" t="s">
        <v>12</v>
      </c>
      <c r="S64" s="158"/>
      <c r="T64" s="158"/>
      <c r="U64" s="159" t="s">
        <v>47</v>
      </c>
    </row>
    <row r="65" spans="16:21" ht="27.1" hidden="1" customHeight="1" x14ac:dyDescent="0.3">
      <c r="P65" s="154">
        <v>55</v>
      </c>
      <c r="Q65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5" s="160" t="s">
        <v>12</v>
      </c>
      <c r="S65" s="160"/>
      <c r="T65" s="160"/>
      <c r="U65" s="161" t="s">
        <v>48</v>
      </c>
    </row>
    <row r="66" spans="16:21" ht="27.1" hidden="1" customHeight="1" x14ac:dyDescent="0.3">
      <c r="P66" s="151">
        <v>56</v>
      </c>
      <c r="Q66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6" s="158" t="s">
        <v>12</v>
      </c>
      <c r="S66" s="158"/>
      <c r="T66" s="158"/>
      <c r="U66" s="159" t="s">
        <v>48</v>
      </c>
    </row>
    <row r="67" spans="16:21" ht="27.1" hidden="1" customHeight="1" x14ac:dyDescent="0.3">
      <c r="P67" s="154">
        <v>57</v>
      </c>
      <c r="Q67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무</v>
      </c>
      <c r="R67" s="160" t="s">
        <v>12</v>
      </c>
      <c r="S67" s="160">
        <v>2</v>
      </c>
      <c r="T67" s="160">
        <v>2</v>
      </c>
      <c r="U67" s="161" t="s">
        <v>11</v>
      </c>
    </row>
    <row r="68" spans="16:21" ht="27.1" hidden="1" customHeight="1" x14ac:dyDescent="0.3">
      <c r="P68" s="151">
        <v>58</v>
      </c>
      <c r="Q68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패</v>
      </c>
      <c r="R68" s="158" t="s">
        <v>12</v>
      </c>
      <c r="S68" s="158">
        <v>0</v>
      </c>
      <c r="T68" s="158">
        <v>2</v>
      </c>
      <c r="U68" s="159" t="s">
        <v>11</v>
      </c>
    </row>
    <row r="69" spans="16:21" ht="27.1" hidden="1" customHeight="1" x14ac:dyDescent="0.3">
      <c r="P69" s="154">
        <v>59</v>
      </c>
      <c r="Q69" s="160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9" s="160" t="s">
        <v>12</v>
      </c>
      <c r="S69" s="160"/>
      <c r="T69" s="160"/>
      <c r="U69" s="161" t="s">
        <v>54</v>
      </c>
    </row>
    <row r="70" spans="16:21" ht="27.1" hidden="1" customHeight="1" x14ac:dyDescent="0.3">
      <c r="P70" s="151">
        <v>60</v>
      </c>
      <c r="Q70" s="158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70" s="158" t="s">
        <v>12</v>
      </c>
      <c r="S70" s="158"/>
      <c r="T70" s="158"/>
      <c r="U70" s="159" t="s">
        <v>54</v>
      </c>
    </row>
    <row r="71" spans="16:21" ht="27.1" customHeight="1" x14ac:dyDescent="0.3"/>
    <row r="72" spans="16:21" ht="27.1" customHeight="1" x14ac:dyDescent="0.3"/>
    <row r="73" spans="16:21" ht="27.1" customHeight="1" x14ac:dyDescent="0.3"/>
    <row r="74" spans="16:21" ht="27.1" customHeight="1" x14ac:dyDescent="0.3"/>
    <row r="75" spans="16:21" ht="27.1" customHeight="1" x14ac:dyDescent="0.3"/>
    <row r="76" spans="16:21" ht="27.1" customHeight="1" x14ac:dyDescent="0.3"/>
    <row r="77" spans="16:21" ht="27.1" customHeight="1" x14ac:dyDescent="0.3"/>
    <row r="78" spans="16:21" ht="27.1" customHeight="1" x14ac:dyDescent="0.3"/>
    <row r="79" spans="16:21" ht="27.1" customHeight="1" x14ac:dyDescent="0.3"/>
    <row r="80" spans="16:21" ht="27.1" customHeight="1" x14ac:dyDescent="0.3"/>
    <row r="81" ht="27.1" customHeight="1" x14ac:dyDescent="0.3"/>
    <row r="82" ht="27.1" customHeight="1" x14ac:dyDescent="0.3"/>
    <row r="83" ht="27.1" customHeight="1" x14ac:dyDescent="0.3"/>
    <row r="84" ht="27.1" customHeight="1" x14ac:dyDescent="0.3"/>
    <row r="85" ht="27.1" customHeight="1" x14ac:dyDescent="0.3"/>
    <row r="86" ht="27.1" customHeight="1" x14ac:dyDescent="0.3"/>
    <row r="87" ht="27.1" customHeight="1" x14ac:dyDescent="0.3"/>
    <row r="88" ht="27.1" customHeight="1" x14ac:dyDescent="0.3"/>
    <row r="89" ht="27.1" customHeight="1" x14ac:dyDescent="0.3"/>
    <row r="90" ht="27.1" customHeight="1" x14ac:dyDescent="0.3"/>
    <row r="91" ht="27.1" customHeight="1" x14ac:dyDescent="0.3"/>
    <row r="92" ht="27.1" customHeight="1" x14ac:dyDescent="0.3"/>
    <row r="93" ht="27.1" customHeight="1" x14ac:dyDescent="0.3"/>
    <row r="94" ht="27.1" customHeight="1" x14ac:dyDescent="0.3"/>
    <row r="95" ht="27.1" customHeight="1" x14ac:dyDescent="0.3"/>
    <row r="96" ht="27.1" customHeight="1" x14ac:dyDescent="0.3"/>
    <row r="97" ht="27.1" customHeight="1" x14ac:dyDescent="0.3"/>
    <row r="98" ht="27.1" customHeight="1" x14ac:dyDescent="0.3"/>
    <row r="99" ht="27.1" customHeight="1" x14ac:dyDescent="0.3"/>
    <row r="100" ht="27.1" customHeight="1" x14ac:dyDescent="0.3"/>
    <row r="101" ht="27.1" customHeight="1" x14ac:dyDescent="0.3"/>
    <row r="102" ht="27.1" customHeight="1" x14ac:dyDescent="0.3"/>
    <row r="103" ht="27.1" customHeight="1" x14ac:dyDescent="0.3"/>
    <row r="104" ht="27.1" customHeight="1" x14ac:dyDescent="0.3"/>
    <row r="105" ht="27.1" customHeight="1" x14ac:dyDescent="0.3"/>
    <row r="106" ht="27.1" customHeight="1" x14ac:dyDescent="0.3"/>
    <row r="107" ht="27.1" customHeight="1" x14ac:dyDescent="0.3"/>
    <row r="108" ht="27.1" customHeight="1" x14ac:dyDescent="0.3"/>
    <row r="109" ht="27.1" customHeight="1" x14ac:dyDescent="0.3"/>
    <row r="110" ht="27.1" customHeight="1" x14ac:dyDescent="0.3"/>
    <row r="111" ht="27.1" customHeight="1" x14ac:dyDescent="0.3"/>
    <row r="112" ht="27.1" customHeight="1" x14ac:dyDescent="0.3"/>
    <row r="113" ht="27.1" customHeight="1" x14ac:dyDescent="0.3"/>
    <row r="114" ht="27.1" customHeight="1" x14ac:dyDescent="0.3"/>
    <row r="115" ht="27.1" customHeight="1" x14ac:dyDescent="0.3"/>
    <row r="116" ht="27.1" customHeight="1" x14ac:dyDescent="0.3"/>
    <row r="117" ht="27.1" customHeight="1" x14ac:dyDescent="0.3"/>
    <row r="118" ht="27.1" customHeight="1" x14ac:dyDescent="0.3"/>
    <row r="119" ht="27.1" customHeight="1" x14ac:dyDescent="0.3"/>
    <row r="120" ht="27.1" customHeight="1" x14ac:dyDescent="0.3"/>
    <row r="121" ht="27.1" customHeight="1" x14ac:dyDescent="0.3"/>
    <row r="122" ht="27.1" customHeight="1" x14ac:dyDescent="0.3"/>
    <row r="123" ht="27.1" customHeight="1" x14ac:dyDescent="0.3"/>
    <row r="124" ht="27.1" customHeight="1" x14ac:dyDescent="0.3"/>
    <row r="125" ht="27.1" customHeight="1" x14ac:dyDescent="0.3"/>
    <row r="126" ht="27.1" customHeight="1" x14ac:dyDescent="0.3"/>
    <row r="127" ht="27.1" customHeight="1" x14ac:dyDescent="0.3"/>
    <row r="128" ht="27.1" customHeight="1" x14ac:dyDescent="0.3"/>
    <row r="129" ht="27.1" customHeight="1" x14ac:dyDescent="0.3"/>
    <row r="130" ht="27.1" customHeight="1" x14ac:dyDescent="0.3"/>
    <row r="131" ht="27.1" customHeight="1" x14ac:dyDescent="0.3"/>
    <row r="132" ht="27.1" customHeight="1" x14ac:dyDescent="0.3"/>
    <row r="133" ht="27.1" customHeight="1" x14ac:dyDescent="0.3"/>
    <row r="134" ht="27.1" customHeight="1" x14ac:dyDescent="0.3"/>
    <row r="135" ht="27.1" customHeight="1" x14ac:dyDescent="0.3"/>
    <row r="136" ht="27.1" customHeight="1" x14ac:dyDescent="0.3"/>
    <row r="137" ht="27.1" customHeight="1" x14ac:dyDescent="0.3"/>
    <row r="138" ht="27.1" customHeight="1" x14ac:dyDescent="0.3"/>
    <row r="139" ht="27.1" customHeight="1" x14ac:dyDescent="0.3"/>
    <row r="140" ht="27.1" customHeight="1" x14ac:dyDescent="0.3"/>
    <row r="141" ht="27.1" customHeight="1" x14ac:dyDescent="0.3"/>
    <row r="142" ht="27.1" customHeight="1" x14ac:dyDescent="0.3"/>
    <row r="143" ht="27.1" customHeight="1" x14ac:dyDescent="0.3"/>
    <row r="144" ht="27.1" customHeight="1" x14ac:dyDescent="0.3"/>
    <row r="145" ht="27.1" customHeight="1" x14ac:dyDescent="0.3"/>
    <row r="146" ht="27.1" customHeight="1" x14ac:dyDescent="0.3"/>
    <row r="147" ht="27.1" customHeight="1" x14ac:dyDescent="0.3"/>
    <row r="148" ht="27.1" customHeight="1" x14ac:dyDescent="0.3"/>
    <row r="149" ht="27.1" customHeight="1" x14ac:dyDescent="0.3"/>
    <row r="150" ht="27.1" customHeight="1" x14ac:dyDescent="0.3"/>
    <row r="151" ht="27.1" customHeight="1" x14ac:dyDescent="0.3"/>
    <row r="152" ht="27.1" customHeight="1" x14ac:dyDescent="0.3"/>
    <row r="153" ht="27.1" customHeight="1" x14ac:dyDescent="0.3"/>
    <row r="154" ht="27.1" customHeight="1" x14ac:dyDescent="0.3"/>
    <row r="155" ht="27.1" customHeight="1" x14ac:dyDescent="0.3"/>
    <row r="156" ht="27.1" customHeight="1" x14ac:dyDescent="0.3"/>
    <row r="157" ht="27.1" customHeight="1" x14ac:dyDescent="0.3"/>
    <row r="158" ht="27.1" customHeight="1" x14ac:dyDescent="0.3"/>
    <row r="159" ht="27.1" customHeight="1" x14ac:dyDescent="0.3"/>
    <row r="160" ht="27.1" customHeight="1" x14ac:dyDescent="0.3"/>
    <row r="161" ht="27.1" customHeight="1" x14ac:dyDescent="0.3"/>
    <row r="162" ht="27.1" customHeight="1" x14ac:dyDescent="0.3"/>
    <row r="163" ht="27.1" customHeight="1" x14ac:dyDescent="0.3"/>
    <row r="164" ht="27.1" customHeight="1" x14ac:dyDescent="0.3"/>
    <row r="165" ht="27.1" customHeight="1" x14ac:dyDescent="0.3"/>
    <row r="166" ht="27.1" customHeight="1" x14ac:dyDescent="0.3"/>
    <row r="167" ht="27.1" customHeight="1" x14ac:dyDescent="0.3"/>
    <row r="168" ht="27.1" customHeight="1" x14ac:dyDescent="0.3"/>
    <row r="169" ht="27.1" customHeight="1" x14ac:dyDescent="0.3"/>
    <row r="170" ht="27.1" customHeight="1" x14ac:dyDescent="0.3"/>
    <row r="171" ht="27.1" customHeight="1" x14ac:dyDescent="0.3"/>
    <row r="172" ht="27.1" customHeight="1" x14ac:dyDescent="0.3"/>
    <row r="173" ht="27.1" customHeight="1" x14ac:dyDescent="0.3"/>
    <row r="174" ht="27.1" customHeight="1" x14ac:dyDescent="0.3"/>
    <row r="175" ht="27.1" customHeight="1" x14ac:dyDescent="0.3"/>
    <row r="176" ht="27.1" customHeight="1" x14ac:dyDescent="0.3"/>
    <row r="177" ht="27.1" customHeight="1" x14ac:dyDescent="0.3"/>
    <row r="178" ht="27.1" customHeight="1" x14ac:dyDescent="0.3"/>
    <row r="179" ht="27.1" customHeight="1" x14ac:dyDescent="0.3"/>
    <row r="180" ht="27.1" customHeight="1" x14ac:dyDescent="0.3"/>
    <row r="181" ht="27.1" customHeight="1" x14ac:dyDescent="0.3"/>
    <row r="182" ht="27.1" customHeight="1" x14ac:dyDescent="0.3"/>
    <row r="183" ht="27.1" customHeight="1" x14ac:dyDescent="0.3"/>
    <row r="184" ht="27.1" customHeight="1" x14ac:dyDescent="0.3"/>
    <row r="185" ht="27.1" customHeight="1" x14ac:dyDescent="0.3"/>
    <row r="186" ht="27.1" customHeight="1" x14ac:dyDescent="0.3"/>
    <row r="187" ht="27.1" customHeight="1" x14ac:dyDescent="0.3"/>
    <row r="188" ht="27.1" customHeight="1" x14ac:dyDescent="0.3"/>
    <row r="189" ht="27.1" customHeight="1" x14ac:dyDescent="0.3"/>
    <row r="190" ht="27.1" customHeight="1" x14ac:dyDescent="0.3"/>
    <row r="191" ht="27.1" customHeight="1" x14ac:dyDescent="0.3"/>
    <row r="192" ht="27.1" customHeight="1" x14ac:dyDescent="0.3"/>
    <row r="193" ht="27.1" customHeight="1" x14ac:dyDescent="0.3"/>
    <row r="194" ht="27.1" customHeight="1" x14ac:dyDescent="0.3"/>
    <row r="195" ht="27.1" customHeight="1" x14ac:dyDescent="0.3"/>
    <row r="196" ht="27.1" customHeight="1" x14ac:dyDescent="0.3"/>
    <row r="197" ht="27.1" customHeight="1" x14ac:dyDescent="0.3"/>
    <row r="198" ht="27.1" customHeight="1" x14ac:dyDescent="0.3"/>
    <row r="199" ht="27.1" customHeight="1" x14ac:dyDescent="0.3"/>
    <row r="200" ht="27.1" customHeight="1" x14ac:dyDescent="0.3"/>
    <row r="201" ht="27.1" customHeight="1" x14ac:dyDescent="0.3"/>
    <row r="202" ht="27.1" customHeight="1" x14ac:dyDescent="0.3"/>
    <row r="203" ht="27.1" customHeight="1" x14ac:dyDescent="0.3"/>
    <row r="204" ht="27.1" customHeight="1" x14ac:dyDescent="0.3"/>
    <row r="205" ht="27.1" customHeight="1" x14ac:dyDescent="0.3"/>
    <row r="206" ht="27.1" customHeight="1" x14ac:dyDescent="0.3"/>
    <row r="207" ht="27.1" customHeight="1" x14ac:dyDescent="0.3"/>
    <row r="208" ht="27.1" customHeight="1" x14ac:dyDescent="0.3"/>
    <row r="209" ht="27.1" customHeight="1" x14ac:dyDescent="0.3"/>
    <row r="210" ht="27.1" customHeight="1" x14ac:dyDescent="0.3"/>
    <row r="211" ht="27.1" customHeight="1" x14ac:dyDescent="0.3"/>
    <row r="212" ht="27.1" customHeight="1" x14ac:dyDescent="0.3"/>
    <row r="213" ht="27.1" customHeight="1" x14ac:dyDescent="0.3"/>
    <row r="214" ht="27.1" customHeight="1" x14ac:dyDescent="0.3"/>
    <row r="215" ht="27.1" customHeight="1" x14ac:dyDescent="0.3"/>
    <row r="216" ht="27.1" customHeight="1" x14ac:dyDescent="0.3"/>
    <row r="217" ht="27.1" customHeight="1" x14ac:dyDescent="0.3"/>
    <row r="218" ht="27.1" customHeight="1" x14ac:dyDescent="0.3"/>
    <row r="219" ht="27.1" customHeight="1" x14ac:dyDescent="0.3"/>
    <row r="220" ht="27.1" customHeight="1" x14ac:dyDescent="0.3"/>
    <row r="221" ht="27.1" customHeight="1" x14ac:dyDescent="0.3"/>
    <row r="222" ht="27.1" customHeight="1" x14ac:dyDescent="0.3"/>
    <row r="223" ht="27.1" customHeight="1" x14ac:dyDescent="0.3"/>
    <row r="224" ht="27.1" customHeight="1" x14ac:dyDescent="0.3"/>
    <row r="225" ht="27.1" customHeight="1" x14ac:dyDescent="0.3"/>
    <row r="226" ht="27.1" customHeight="1" x14ac:dyDescent="0.3"/>
    <row r="227" ht="27.1" customHeight="1" x14ac:dyDescent="0.3"/>
    <row r="228" ht="27.1" customHeight="1" x14ac:dyDescent="0.3"/>
    <row r="229" ht="27.1" customHeight="1" x14ac:dyDescent="0.3"/>
    <row r="230" ht="27.1" customHeight="1" x14ac:dyDescent="0.3"/>
  </sheetData>
  <phoneticPr fontId="10" type="noConversion"/>
  <conditionalFormatting sqref="N3:N8">
    <cfRule type="cellIs" dxfId="6" priority="1" operator="greaterThan">
      <formula>$N$3</formula>
    </cfRule>
  </conditionalFormatting>
  <conditionalFormatting sqref="Q11:Q70">
    <cfRule type="cellIs" dxfId="5" priority="2" operator="equal">
      <formula>"미진행"</formula>
    </cfRule>
  </conditionalFormatting>
  <conditionalFormatting sqref="U10">
    <cfRule type="cellIs" dxfId="4" priority="3" operator="equal">
      <formula>"파리"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1273-7D59-4F2A-83F6-84C5DD233EBD}">
  <dimension ref="B1:U234"/>
  <sheetViews>
    <sheetView showGridLines="0" zoomScale="130" zoomScaleNormal="130" workbookViewId="0">
      <selection activeCell="S195" sqref="S195"/>
    </sheetView>
  </sheetViews>
  <sheetFormatPr defaultRowHeight="15.7" x14ac:dyDescent="0.3"/>
  <cols>
    <col min="1" max="1" width="2.625" customWidth="1"/>
    <col min="2" max="2" width="6.25" customWidth="1"/>
    <col min="3" max="3" width="14.625" customWidth="1"/>
    <col min="4" max="4" width="6.5" customWidth="1"/>
    <col min="5" max="5" width="9" customWidth="1"/>
    <col min="6" max="8" width="6.125" customWidth="1"/>
    <col min="9" max="10" width="6.5" customWidth="1"/>
    <col min="11" max="11" width="8.375" customWidth="1"/>
    <col min="12" max="12" width="2.625" customWidth="1"/>
    <col min="13" max="14" width="10.875" customWidth="1"/>
    <col min="15" max="15" width="2.625" customWidth="1"/>
    <col min="16" max="16" width="9" customWidth="1"/>
    <col min="18" max="18" width="15.875" customWidth="1"/>
    <col min="21" max="21" width="15.875" customWidth="1"/>
    <col min="22" max="22" width="2.625" customWidth="1"/>
    <col min="23" max="23" width="15.625" bestFit="1" customWidth="1"/>
  </cols>
  <sheetData>
    <row r="1" spans="2:21" ht="16.399999999999999" thickBot="1" x14ac:dyDescent="0.35"/>
    <row r="2" spans="2:21" ht="15.7" customHeight="1" thickBot="1" x14ac:dyDescent="0.35">
      <c r="B2" s="77" t="s">
        <v>35</v>
      </c>
      <c r="C2" s="94" t="s">
        <v>5</v>
      </c>
      <c r="D2" s="78" t="s">
        <v>36</v>
      </c>
      <c r="E2" s="79" t="s">
        <v>33</v>
      </c>
      <c r="F2" s="80" t="s">
        <v>4</v>
      </c>
      <c r="G2" s="80" t="s">
        <v>2</v>
      </c>
      <c r="H2" s="80" t="s">
        <v>10</v>
      </c>
      <c r="I2" s="81" t="s">
        <v>26</v>
      </c>
      <c r="J2" s="80" t="s">
        <v>28</v>
      </c>
      <c r="K2" s="78" t="s">
        <v>30</v>
      </c>
      <c r="M2" s="45" t="s">
        <v>46</v>
      </c>
      <c r="N2" s="43" t="s">
        <v>49</v>
      </c>
    </row>
    <row r="3" spans="2:21" ht="27.1" customHeight="1" thickBot="1" x14ac:dyDescent="0.35">
      <c r="B3" s="63">
        <v>1</v>
      </c>
      <c r="C3" s="99" t="str" cm="1">
        <f t="array" ref="C3:K12">_xlfn._xlws.SORT(_xlfn._xlws.SORT(_xlfn._xlws.SORT(_xlfn._xlws.SORT((_xlfn._xlws.FILTER(표2부리그[],표2부리그[경기]&gt;(-1),)),9,-1),7,-1),8,1),2,-1)</f>
        <v>레버쿠젠</v>
      </c>
      <c r="D3" s="60">
        <v>28</v>
      </c>
      <c r="E3" s="42">
        <v>12</v>
      </c>
      <c r="F3" s="40">
        <v>9</v>
      </c>
      <c r="G3" s="40">
        <v>1</v>
      </c>
      <c r="H3" s="40">
        <v>2</v>
      </c>
      <c r="I3" s="41">
        <v>34</v>
      </c>
      <c r="J3" s="40">
        <v>15</v>
      </c>
      <c r="K3" s="64">
        <v>19</v>
      </c>
      <c r="M3" s="69">
        <f>IFERROR(D3/E3,0)</f>
        <v>2.3333333333333335</v>
      </c>
      <c r="N3" s="83">
        <f>(18-E3)*3+D3</f>
        <v>46</v>
      </c>
    </row>
    <row r="4" spans="2:21" ht="27.1" customHeight="1" thickBot="1" x14ac:dyDescent="0.35">
      <c r="B4" s="65">
        <v>2</v>
      </c>
      <c r="C4" s="95" t="str">
        <v>ATM</v>
      </c>
      <c r="D4" s="61">
        <v>15</v>
      </c>
      <c r="E4" s="35">
        <v>8</v>
      </c>
      <c r="F4" s="33">
        <v>5</v>
      </c>
      <c r="G4" s="33">
        <v>0</v>
      </c>
      <c r="H4" s="33">
        <v>3</v>
      </c>
      <c r="I4" s="34">
        <v>22</v>
      </c>
      <c r="J4" s="33">
        <v>10</v>
      </c>
      <c r="K4" s="66">
        <v>12</v>
      </c>
      <c r="M4" s="70">
        <f t="shared" ref="M4:M12" si="0">IFERROR(D4/E4,0)</f>
        <v>1.875</v>
      </c>
      <c r="N4" s="97">
        <f t="shared" ref="N4:N12" si="1">(18-E4)*3+D4</f>
        <v>45</v>
      </c>
    </row>
    <row r="5" spans="2:21" ht="27.1" customHeight="1" thickBot="1" x14ac:dyDescent="0.35">
      <c r="B5" s="67">
        <v>3</v>
      </c>
      <c r="C5" s="96" t="str">
        <v>첼시</v>
      </c>
      <c r="D5" s="62">
        <v>12</v>
      </c>
      <c r="E5" s="31">
        <v>8</v>
      </c>
      <c r="F5" s="29">
        <v>4</v>
      </c>
      <c r="G5" s="29">
        <v>0</v>
      </c>
      <c r="H5" s="29">
        <v>4</v>
      </c>
      <c r="I5" s="30">
        <v>25</v>
      </c>
      <c r="J5" s="29">
        <v>20</v>
      </c>
      <c r="K5" s="68">
        <v>5</v>
      </c>
      <c r="M5" s="71">
        <f t="shared" si="0"/>
        <v>1.5</v>
      </c>
      <c r="N5" s="98">
        <f t="shared" si="1"/>
        <v>42</v>
      </c>
    </row>
    <row r="6" spans="2:21" ht="27.1" customHeight="1" thickBot="1" x14ac:dyDescent="0.35">
      <c r="B6" s="65">
        <v>4</v>
      </c>
      <c r="C6" s="95" t="str">
        <v>PSV</v>
      </c>
      <c r="D6" s="61">
        <v>6</v>
      </c>
      <c r="E6" s="35">
        <v>2</v>
      </c>
      <c r="F6" s="33">
        <v>2</v>
      </c>
      <c r="G6" s="33">
        <v>0</v>
      </c>
      <c r="H6" s="33">
        <v>0</v>
      </c>
      <c r="I6" s="34">
        <v>9</v>
      </c>
      <c r="J6" s="33">
        <v>6</v>
      </c>
      <c r="K6" s="66">
        <v>3</v>
      </c>
      <c r="M6" s="70">
        <f t="shared" si="0"/>
        <v>3</v>
      </c>
      <c r="N6" s="97">
        <f t="shared" si="1"/>
        <v>54</v>
      </c>
    </row>
    <row r="7" spans="2:21" ht="27.1" customHeight="1" thickBot="1" x14ac:dyDescent="0.35">
      <c r="B7" s="67">
        <v>5</v>
      </c>
      <c r="C7" s="96" t="str">
        <v>레알 마드리드</v>
      </c>
      <c r="D7" s="62">
        <v>4</v>
      </c>
      <c r="E7" s="31">
        <v>2</v>
      </c>
      <c r="F7" s="29">
        <v>1</v>
      </c>
      <c r="G7" s="29">
        <v>1</v>
      </c>
      <c r="H7" s="29">
        <v>0</v>
      </c>
      <c r="I7" s="30">
        <v>2</v>
      </c>
      <c r="J7" s="29">
        <v>1</v>
      </c>
      <c r="K7" s="68">
        <v>1</v>
      </c>
      <c r="M7" s="71">
        <f t="shared" si="0"/>
        <v>2</v>
      </c>
      <c r="N7" s="98">
        <f t="shared" si="1"/>
        <v>52</v>
      </c>
    </row>
    <row r="8" spans="2:21" ht="27.1" customHeight="1" thickBot="1" x14ac:dyDescent="0.35">
      <c r="B8" s="65">
        <v>6</v>
      </c>
      <c r="C8" s="95" t="str">
        <v>유벤투스</v>
      </c>
      <c r="D8" s="61">
        <v>4</v>
      </c>
      <c r="E8" s="35">
        <v>4</v>
      </c>
      <c r="F8" s="33">
        <v>1</v>
      </c>
      <c r="G8" s="33">
        <v>1</v>
      </c>
      <c r="H8" s="33">
        <v>2</v>
      </c>
      <c r="I8" s="34">
        <v>4</v>
      </c>
      <c r="J8" s="33">
        <v>10</v>
      </c>
      <c r="K8" s="66">
        <v>-6</v>
      </c>
      <c r="M8" s="70">
        <f t="shared" si="0"/>
        <v>1</v>
      </c>
      <c r="N8" s="97">
        <f t="shared" si="1"/>
        <v>46</v>
      </c>
    </row>
    <row r="9" spans="2:21" ht="27.1" customHeight="1" thickBot="1" x14ac:dyDescent="0.35">
      <c r="B9" s="67">
        <v>7</v>
      </c>
      <c r="C9" s="96" t="str">
        <v>아우크스부르크</v>
      </c>
      <c r="D9" s="62">
        <v>1</v>
      </c>
      <c r="E9" s="31">
        <v>8</v>
      </c>
      <c r="F9" s="29">
        <v>0</v>
      </c>
      <c r="G9" s="29">
        <v>1</v>
      </c>
      <c r="H9" s="29">
        <v>7</v>
      </c>
      <c r="I9" s="30">
        <v>9</v>
      </c>
      <c r="J9" s="29">
        <v>31</v>
      </c>
      <c r="K9" s="68">
        <v>-22</v>
      </c>
      <c r="M9" s="71">
        <f t="shared" si="0"/>
        <v>0.125</v>
      </c>
      <c r="N9" s="98">
        <f t="shared" si="1"/>
        <v>31</v>
      </c>
    </row>
    <row r="10" spans="2:21" ht="27.1" customHeight="1" thickBot="1" x14ac:dyDescent="0.35">
      <c r="B10" s="65">
        <v>8</v>
      </c>
      <c r="C10" s="95" t="str">
        <v>비야레알</v>
      </c>
      <c r="D10" s="61">
        <v>0</v>
      </c>
      <c r="E10" s="35">
        <v>0</v>
      </c>
      <c r="F10" s="33">
        <v>0</v>
      </c>
      <c r="G10" s="33">
        <v>0</v>
      </c>
      <c r="H10" s="33">
        <v>0</v>
      </c>
      <c r="I10" s="34">
        <v>0</v>
      </c>
      <c r="J10" s="33">
        <v>0</v>
      </c>
      <c r="K10" s="66">
        <v>0</v>
      </c>
      <c r="M10" s="70">
        <f t="shared" si="0"/>
        <v>0</v>
      </c>
      <c r="N10" s="97">
        <f t="shared" si="1"/>
        <v>54</v>
      </c>
    </row>
    <row r="11" spans="2:21" ht="27.1" customHeight="1" thickBot="1" x14ac:dyDescent="0.35">
      <c r="B11" s="67">
        <v>9</v>
      </c>
      <c r="C11" s="96" t="str">
        <v>도르트문트</v>
      </c>
      <c r="D11" s="62">
        <v>0</v>
      </c>
      <c r="E11" s="31">
        <v>0</v>
      </c>
      <c r="F11" s="29">
        <v>0</v>
      </c>
      <c r="G11" s="29">
        <v>0</v>
      </c>
      <c r="H11" s="29">
        <v>0</v>
      </c>
      <c r="I11" s="30">
        <v>0</v>
      </c>
      <c r="J11" s="29">
        <v>0</v>
      </c>
      <c r="K11" s="68">
        <v>0</v>
      </c>
      <c r="M11" s="71">
        <f t="shared" si="0"/>
        <v>0</v>
      </c>
      <c r="N11" s="98">
        <f t="shared" si="1"/>
        <v>54</v>
      </c>
    </row>
    <row r="12" spans="2:21" ht="27.1" customHeight="1" thickBot="1" x14ac:dyDescent="0.35">
      <c r="B12" s="74">
        <v>10</v>
      </c>
      <c r="C12" s="100" t="str">
        <v>토트넘</v>
      </c>
      <c r="D12" s="75">
        <v>0</v>
      </c>
      <c r="E12" s="58">
        <v>4</v>
      </c>
      <c r="F12" s="56">
        <v>0</v>
      </c>
      <c r="G12" s="56">
        <v>0</v>
      </c>
      <c r="H12" s="56">
        <v>4</v>
      </c>
      <c r="I12" s="57">
        <v>5</v>
      </c>
      <c r="J12" s="56">
        <v>17</v>
      </c>
      <c r="K12" s="76">
        <v>-12</v>
      </c>
      <c r="M12" s="70">
        <f t="shared" si="0"/>
        <v>0</v>
      </c>
      <c r="N12" s="84">
        <f t="shared" si="1"/>
        <v>42</v>
      </c>
    </row>
    <row r="13" spans="2:21" ht="10" customHeight="1" x14ac:dyDescent="0.3"/>
    <row r="14" spans="2:21" ht="21.6" customHeight="1" x14ac:dyDescent="0.3">
      <c r="P14" s="9" t="s">
        <v>51</v>
      </c>
      <c r="Q14" s="10" t="s">
        <v>50</v>
      </c>
      <c r="R14" s="10" t="s">
        <v>52</v>
      </c>
      <c r="S14" s="10" t="s">
        <v>26</v>
      </c>
      <c r="T14" s="10" t="s">
        <v>28</v>
      </c>
      <c r="U14" s="11" t="s">
        <v>53</v>
      </c>
    </row>
    <row r="15" spans="2:21" ht="27.1" hidden="1" customHeight="1" x14ac:dyDescent="0.35">
      <c r="P15" s="14">
        <v>1</v>
      </c>
      <c r="Q1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" s="88" t="s">
        <v>14</v>
      </c>
      <c r="S15" s="88"/>
      <c r="T15" s="88"/>
      <c r="U15" s="89" t="s">
        <v>54</v>
      </c>
    </row>
    <row r="16" spans="2:21" ht="27.1" hidden="1" customHeight="1" x14ac:dyDescent="0.35">
      <c r="P16" s="14">
        <v>2</v>
      </c>
      <c r="Q1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" s="88" t="s">
        <v>14</v>
      </c>
      <c r="S16" s="88"/>
      <c r="T16" s="88"/>
      <c r="U16" s="89" t="s">
        <v>54</v>
      </c>
    </row>
    <row r="17" spans="16:21" ht="27.1" hidden="1" customHeight="1" x14ac:dyDescent="0.35">
      <c r="P17" s="14">
        <v>3</v>
      </c>
      <c r="Q1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" s="88" t="s">
        <v>14</v>
      </c>
      <c r="S17" s="88"/>
      <c r="T17" s="88"/>
      <c r="U17" s="89" t="s">
        <v>73</v>
      </c>
    </row>
    <row r="18" spans="16:21" ht="27.1" hidden="1" customHeight="1" x14ac:dyDescent="0.35">
      <c r="P18" s="14">
        <v>4</v>
      </c>
      <c r="Q1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" s="88" t="s">
        <v>14</v>
      </c>
      <c r="S18" s="88"/>
      <c r="T18" s="88"/>
      <c r="U18" s="89" t="s">
        <v>73</v>
      </c>
    </row>
    <row r="19" spans="16:21" ht="27.1" hidden="1" customHeight="1" x14ac:dyDescent="0.35">
      <c r="P19" s="14">
        <v>5</v>
      </c>
      <c r="Q1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9" s="88" t="s">
        <v>14</v>
      </c>
      <c r="S19" s="88">
        <v>2</v>
      </c>
      <c r="T19" s="88">
        <v>1</v>
      </c>
      <c r="U19" s="89" t="s">
        <v>17</v>
      </c>
    </row>
    <row r="20" spans="16:21" ht="27.1" hidden="1" customHeight="1" x14ac:dyDescent="0.35">
      <c r="P20" s="14">
        <v>6</v>
      </c>
      <c r="Q2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0" s="88" t="s">
        <v>14</v>
      </c>
      <c r="S20" s="88">
        <v>0</v>
      </c>
      <c r="T20" s="88">
        <v>4</v>
      </c>
      <c r="U20" s="89" t="s">
        <v>17</v>
      </c>
    </row>
    <row r="21" spans="16:21" ht="27.1" hidden="1" customHeight="1" x14ac:dyDescent="0.35">
      <c r="P21" s="14">
        <v>7</v>
      </c>
      <c r="Q2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1" s="88" t="s">
        <v>14</v>
      </c>
      <c r="S21" s="88">
        <v>3</v>
      </c>
      <c r="T21" s="88">
        <v>0</v>
      </c>
      <c r="U21" s="89" t="s">
        <v>13</v>
      </c>
    </row>
    <row r="22" spans="16:21" ht="27.1" hidden="1" customHeight="1" x14ac:dyDescent="0.35">
      <c r="P22" s="14">
        <v>8</v>
      </c>
      <c r="Q2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2" s="88" t="s">
        <v>14</v>
      </c>
      <c r="S22" s="88">
        <v>3</v>
      </c>
      <c r="T22" s="88">
        <v>2</v>
      </c>
      <c r="U22" s="89" t="s">
        <v>13</v>
      </c>
    </row>
    <row r="23" spans="16:21" ht="27.1" hidden="1" customHeight="1" x14ac:dyDescent="0.35">
      <c r="P23" s="14">
        <v>9</v>
      </c>
      <c r="Q2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3" s="88" t="s">
        <v>14</v>
      </c>
      <c r="S23" s="88">
        <v>4</v>
      </c>
      <c r="T23" s="88">
        <v>1</v>
      </c>
      <c r="U23" s="89" t="s">
        <v>15</v>
      </c>
    </row>
    <row r="24" spans="16:21" ht="27.1" hidden="1" customHeight="1" x14ac:dyDescent="0.35">
      <c r="P24" s="14">
        <v>10</v>
      </c>
      <c r="Q2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4" s="88" t="s">
        <v>14</v>
      </c>
      <c r="S24" s="88">
        <v>3</v>
      </c>
      <c r="T24" s="88">
        <v>1</v>
      </c>
      <c r="U24" s="89" t="s">
        <v>15</v>
      </c>
    </row>
    <row r="25" spans="16:21" ht="27.1" hidden="1" customHeight="1" x14ac:dyDescent="0.35">
      <c r="P25" s="14">
        <v>11</v>
      </c>
      <c r="Q2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5" s="88" t="s">
        <v>14</v>
      </c>
      <c r="S25" s="88"/>
      <c r="T25" s="88"/>
      <c r="U25" s="89" t="s">
        <v>16</v>
      </c>
    </row>
    <row r="26" spans="16:21" ht="27.1" hidden="1" customHeight="1" x14ac:dyDescent="0.35">
      <c r="P26" s="14">
        <v>12</v>
      </c>
      <c r="Q2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6" s="88" t="s">
        <v>14</v>
      </c>
      <c r="S26" s="88"/>
      <c r="T26" s="88"/>
      <c r="U26" s="89" t="s">
        <v>16</v>
      </c>
    </row>
    <row r="27" spans="16:21" ht="27.1" customHeight="1" x14ac:dyDescent="0.3">
      <c r="P27" s="14">
        <v>13</v>
      </c>
      <c r="Q2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27" s="88" t="s">
        <v>14</v>
      </c>
      <c r="S27" s="88">
        <v>1</v>
      </c>
      <c r="T27" s="88">
        <v>1</v>
      </c>
      <c r="U27" s="89" t="s">
        <v>74</v>
      </c>
    </row>
    <row r="28" spans="16:21" ht="27.1" customHeight="1" x14ac:dyDescent="0.3">
      <c r="P28" s="14">
        <v>14</v>
      </c>
      <c r="Q2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8" s="88" t="s">
        <v>14</v>
      </c>
      <c r="S28" s="88">
        <v>0</v>
      </c>
      <c r="T28" s="88">
        <v>1</v>
      </c>
      <c r="U28" s="89" t="s">
        <v>74</v>
      </c>
    </row>
    <row r="29" spans="16:21" ht="27.1" hidden="1" customHeight="1" x14ac:dyDescent="0.3">
      <c r="P29" s="14">
        <v>15</v>
      </c>
      <c r="Q2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29" s="88" t="s">
        <v>14</v>
      </c>
      <c r="S29" s="88">
        <v>3</v>
      </c>
      <c r="T29" s="88">
        <v>0</v>
      </c>
      <c r="U29" s="89" t="s">
        <v>58</v>
      </c>
    </row>
    <row r="30" spans="16:21" ht="27.1" hidden="1" customHeight="1" x14ac:dyDescent="0.3">
      <c r="P30" s="14">
        <v>16</v>
      </c>
      <c r="Q3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0" s="88" t="s">
        <v>14</v>
      </c>
      <c r="S30" s="88">
        <v>5</v>
      </c>
      <c r="T30" s="88">
        <v>1</v>
      </c>
      <c r="U30" s="89" t="s">
        <v>58</v>
      </c>
    </row>
    <row r="31" spans="16:21" ht="27.1" hidden="1" customHeight="1" x14ac:dyDescent="0.3">
      <c r="P31" s="14">
        <v>17</v>
      </c>
      <c r="Q3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1" s="88" t="s">
        <v>14</v>
      </c>
      <c r="S31" s="88">
        <v>3</v>
      </c>
      <c r="T31" s="88">
        <v>1</v>
      </c>
      <c r="U31" s="89" t="s">
        <v>55</v>
      </c>
    </row>
    <row r="32" spans="16:21" ht="27.1" hidden="1" customHeight="1" x14ac:dyDescent="0.3">
      <c r="P32" s="16">
        <v>18</v>
      </c>
      <c r="Q32" s="9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2" s="90" t="s">
        <v>14</v>
      </c>
      <c r="S32" s="90">
        <v>7</v>
      </c>
      <c r="T32" s="90">
        <v>2</v>
      </c>
      <c r="U32" s="91" t="s">
        <v>55</v>
      </c>
    </row>
    <row r="33" spans="16:21" ht="27.1" hidden="1" customHeight="1" x14ac:dyDescent="0.3">
      <c r="P33" s="26">
        <v>19</v>
      </c>
      <c r="Q33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3" s="92" t="s">
        <v>54</v>
      </c>
      <c r="S33" s="92"/>
      <c r="T33" s="92"/>
      <c r="U33" s="101" t="s">
        <v>14</v>
      </c>
    </row>
    <row r="34" spans="16:21" ht="27.1" hidden="1" customHeight="1" x14ac:dyDescent="0.3">
      <c r="P34" s="21">
        <v>20</v>
      </c>
      <c r="Q3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4" s="88" t="s">
        <v>54</v>
      </c>
      <c r="S34" s="88"/>
      <c r="T34" s="88"/>
      <c r="U34" s="102" t="s">
        <v>14</v>
      </c>
    </row>
    <row r="35" spans="16:21" ht="27.1" hidden="1" customHeight="1" x14ac:dyDescent="0.3">
      <c r="P35" s="21">
        <v>21</v>
      </c>
      <c r="Q3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5" s="88" t="s">
        <v>54</v>
      </c>
      <c r="S35" s="88"/>
      <c r="T35" s="88"/>
      <c r="U35" s="102" t="s">
        <v>73</v>
      </c>
    </row>
    <row r="36" spans="16:21" ht="27.1" hidden="1" customHeight="1" x14ac:dyDescent="0.3">
      <c r="P36" s="21">
        <v>22</v>
      </c>
      <c r="Q3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6" s="88" t="s">
        <v>54</v>
      </c>
      <c r="S36" s="88"/>
      <c r="T36" s="88"/>
      <c r="U36" s="102" t="s">
        <v>73</v>
      </c>
    </row>
    <row r="37" spans="16:21" ht="27.1" hidden="1" customHeight="1" x14ac:dyDescent="0.3">
      <c r="P37" s="21">
        <v>23</v>
      </c>
      <c r="Q3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7" s="88" t="s">
        <v>54</v>
      </c>
      <c r="S37" s="88"/>
      <c r="T37" s="88"/>
      <c r="U37" s="102" t="s">
        <v>17</v>
      </c>
    </row>
    <row r="38" spans="16:21" ht="27.1" hidden="1" customHeight="1" x14ac:dyDescent="0.3">
      <c r="P38" s="21">
        <v>24</v>
      </c>
      <c r="Q3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8" s="88" t="s">
        <v>54</v>
      </c>
      <c r="S38" s="88"/>
      <c r="T38" s="88"/>
      <c r="U38" s="102" t="s">
        <v>17</v>
      </c>
    </row>
    <row r="39" spans="16:21" ht="27.1" hidden="1" customHeight="1" x14ac:dyDescent="0.3">
      <c r="P39" s="21">
        <v>25</v>
      </c>
      <c r="Q3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9" s="88" t="s">
        <v>54</v>
      </c>
      <c r="S39" s="88"/>
      <c r="T39" s="88"/>
      <c r="U39" s="102" t="s">
        <v>13</v>
      </c>
    </row>
    <row r="40" spans="16:21" ht="27.1" hidden="1" customHeight="1" x14ac:dyDescent="0.3">
      <c r="P40" s="21">
        <v>26</v>
      </c>
      <c r="Q4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0" s="88" t="s">
        <v>54</v>
      </c>
      <c r="S40" s="88"/>
      <c r="T40" s="88"/>
      <c r="U40" s="102" t="s">
        <v>13</v>
      </c>
    </row>
    <row r="41" spans="16:21" ht="27.1" hidden="1" customHeight="1" x14ac:dyDescent="0.3">
      <c r="P41" s="21">
        <v>27</v>
      </c>
      <c r="Q4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1" s="88" t="s">
        <v>54</v>
      </c>
      <c r="S41" s="88"/>
      <c r="T41" s="88"/>
      <c r="U41" s="102" t="s">
        <v>15</v>
      </c>
    </row>
    <row r="42" spans="16:21" ht="27.1" hidden="1" customHeight="1" x14ac:dyDescent="0.3">
      <c r="P42" s="21">
        <v>28</v>
      </c>
      <c r="Q4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2" s="88" t="s">
        <v>54</v>
      </c>
      <c r="S42" s="88"/>
      <c r="T42" s="88"/>
      <c r="U42" s="102" t="s">
        <v>15</v>
      </c>
    </row>
    <row r="43" spans="16:21" ht="27.1" hidden="1" customHeight="1" x14ac:dyDescent="0.3">
      <c r="P43" s="21">
        <v>29</v>
      </c>
      <c r="Q4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3" s="88" t="s">
        <v>54</v>
      </c>
      <c r="S43" s="88"/>
      <c r="T43" s="88"/>
      <c r="U43" s="102" t="s">
        <v>16</v>
      </c>
    </row>
    <row r="44" spans="16:21" ht="27.1" hidden="1" customHeight="1" x14ac:dyDescent="0.3">
      <c r="P44" s="21">
        <v>30</v>
      </c>
      <c r="Q4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4" s="88" t="s">
        <v>54</v>
      </c>
      <c r="S44" s="88"/>
      <c r="T44" s="88"/>
      <c r="U44" s="102" t="s">
        <v>16</v>
      </c>
    </row>
    <row r="45" spans="16:21" ht="27.1" hidden="1" customHeight="1" x14ac:dyDescent="0.3">
      <c r="P45" s="21">
        <v>31</v>
      </c>
      <c r="Q4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5" s="88" t="s">
        <v>54</v>
      </c>
      <c r="S45" s="88"/>
      <c r="T45" s="88"/>
      <c r="U45" s="102" t="s">
        <v>74</v>
      </c>
    </row>
    <row r="46" spans="16:21" ht="27.1" hidden="1" customHeight="1" x14ac:dyDescent="0.3">
      <c r="P46" s="21">
        <v>32</v>
      </c>
      <c r="Q4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6" s="88" t="s">
        <v>54</v>
      </c>
      <c r="S46" s="88"/>
      <c r="T46" s="88"/>
      <c r="U46" s="102" t="s">
        <v>74</v>
      </c>
    </row>
    <row r="47" spans="16:21" ht="27.1" hidden="1" customHeight="1" x14ac:dyDescent="0.3">
      <c r="P47" s="21">
        <v>33</v>
      </c>
      <c r="Q4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7" s="88" t="s">
        <v>54</v>
      </c>
      <c r="S47" s="88"/>
      <c r="T47" s="88"/>
      <c r="U47" s="102" t="s">
        <v>58</v>
      </c>
    </row>
    <row r="48" spans="16:21" ht="27.1" hidden="1" customHeight="1" x14ac:dyDescent="0.3">
      <c r="P48" s="21">
        <v>34</v>
      </c>
      <c r="Q4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8" s="88" t="s">
        <v>54</v>
      </c>
      <c r="S48" s="88"/>
      <c r="T48" s="88"/>
      <c r="U48" s="102" t="s">
        <v>58</v>
      </c>
    </row>
    <row r="49" spans="16:21" ht="27.1" hidden="1" customHeight="1" x14ac:dyDescent="0.3">
      <c r="P49" s="21">
        <v>35</v>
      </c>
      <c r="Q4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9" s="88" t="s">
        <v>54</v>
      </c>
      <c r="S49" s="88"/>
      <c r="T49" s="88"/>
      <c r="U49" s="102" t="s">
        <v>55</v>
      </c>
    </row>
    <row r="50" spans="16:21" ht="27.1" hidden="1" customHeight="1" thickBot="1" x14ac:dyDescent="0.35">
      <c r="P50" s="23">
        <v>36</v>
      </c>
      <c r="Q50" s="93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0" s="93" t="s">
        <v>54</v>
      </c>
      <c r="S50" s="93"/>
      <c r="T50" s="93"/>
      <c r="U50" s="103" t="s">
        <v>55</v>
      </c>
    </row>
    <row r="51" spans="16:21" ht="27.1" hidden="1" customHeight="1" x14ac:dyDescent="0.3">
      <c r="P51" s="26">
        <v>37</v>
      </c>
      <c r="Q51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1" s="92" t="s">
        <v>73</v>
      </c>
      <c r="S51" s="92"/>
      <c r="T51" s="92"/>
      <c r="U51" s="101" t="s">
        <v>14</v>
      </c>
    </row>
    <row r="52" spans="16:21" ht="27.1" hidden="1" customHeight="1" x14ac:dyDescent="0.3">
      <c r="P52" s="21">
        <v>38</v>
      </c>
      <c r="Q5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2" s="88" t="s">
        <v>73</v>
      </c>
      <c r="S52" s="88"/>
      <c r="T52" s="88"/>
      <c r="U52" s="102" t="s">
        <v>14</v>
      </c>
    </row>
    <row r="53" spans="16:21" ht="27.1" hidden="1" customHeight="1" x14ac:dyDescent="0.3">
      <c r="P53" s="21">
        <v>39</v>
      </c>
      <c r="Q5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3" s="88" t="s">
        <v>73</v>
      </c>
      <c r="S53" s="88"/>
      <c r="T53" s="88"/>
      <c r="U53" s="102" t="s">
        <v>54</v>
      </c>
    </row>
    <row r="54" spans="16:21" ht="27.1" hidden="1" customHeight="1" x14ac:dyDescent="0.3">
      <c r="P54" s="21">
        <v>40</v>
      </c>
      <c r="Q5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4" s="88" t="s">
        <v>73</v>
      </c>
      <c r="S54" s="88"/>
      <c r="T54" s="88"/>
      <c r="U54" s="102" t="s">
        <v>54</v>
      </c>
    </row>
    <row r="55" spans="16:21" ht="27.1" hidden="1" customHeight="1" x14ac:dyDescent="0.3">
      <c r="P55" s="21">
        <v>41</v>
      </c>
      <c r="Q5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5" s="88" t="s">
        <v>73</v>
      </c>
      <c r="S55" s="88"/>
      <c r="T55" s="88"/>
      <c r="U55" s="102" t="s">
        <v>17</v>
      </c>
    </row>
    <row r="56" spans="16:21" ht="27.1" hidden="1" customHeight="1" x14ac:dyDescent="0.3">
      <c r="P56" s="21">
        <v>42</v>
      </c>
      <c r="Q5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6" s="88" t="s">
        <v>73</v>
      </c>
      <c r="S56" s="88"/>
      <c r="T56" s="88"/>
      <c r="U56" s="102" t="s">
        <v>17</v>
      </c>
    </row>
    <row r="57" spans="16:21" ht="27.1" hidden="1" customHeight="1" x14ac:dyDescent="0.3">
      <c r="P57" s="21">
        <v>43</v>
      </c>
      <c r="Q5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7" s="88" t="s">
        <v>73</v>
      </c>
      <c r="S57" s="88"/>
      <c r="T57" s="88"/>
      <c r="U57" s="102" t="s">
        <v>13</v>
      </c>
    </row>
    <row r="58" spans="16:21" ht="27.1" hidden="1" customHeight="1" x14ac:dyDescent="0.3">
      <c r="P58" s="21">
        <v>44</v>
      </c>
      <c r="Q5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8" s="88" t="s">
        <v>73</v>
      </c>
      <c r="S58" s="88"/>
      <c r="T58" s="88"/>
      <c r="U58" s="102" t="s">
        <v>13</v>
      </c>
    </row>
    <row r="59" spans="16:21" ht="27.1" hidden="1" customHeight="1" x14ac:dyDescent="0.3">
      <c r="P59" s="21">
        <v>45</v>
      </c>
      <c r="Q5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9" s="88" t="s">
        <v>73</v>
      </c>
      <c r="S59" s="88"/>
      <c r="T59" s="88"/>
      <c r="U59" s="102" t="s">
        <v>15</v>
      </c>
    </row>
    <row r="60" spans="16:21" ht="27.1" hidden="1" customHeight="1" x14ac:dyDescent="0.3">
      <c r="P60" s="21">
        <v>46</v>
      </c>
      <c r="Q6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0" s="88" t="s">
        <v>73</v>
      </c>
      <c r="S60" s="88"/>
      <c r="T60" s="88"/>
      <c r="U60" s="102" t="s">
        <v>15</v>
      </c>
    </row>
    <row r="61" spans="16:21" ht="27.1" hidden="1" customHeight="1" x14ac:dyDescent="0.3">
      <c r="P61" s="21">
        <v>47</v>
      </c>
      <c r="Q6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1" s="88" t="s">
        <v>73</v>
      </c>
      <c r="S61" s="88"/>
      <c r="T61" s="88"/>
      <c r="U61" s="102" t="s">
        <v>16</v>
      </c>
    </row>
    <row r="62" spans="16:21" ht="27.1" hidden="1" customHeight="1" x14ac:dyDescent="0.3">
      <c r="P62" s="21">
        <v>48</v>
      </c>
      <c r="Q6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2" s="88" t="s">
        <v>73</v>
      </c>
      <c r="S62" s="88"/>
      <c r="T62" s="88"/>
      <c r="U62" s="102" t="s">
        <v>16</v>
      </c>
    </row>
    <row r="63" spans="16:21" ht="27.1" hidden="1" customHeight="1" x14ac:dyDescent="0.3">
      <c r="P63" s="21">
        <v>49</v>
      </c>
      <c r="Q6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3" s="88" t="s">
        <v>73</v>
      </c>
      <c r="S63" s="88"/>
      <c r="T63" s="88"/>
      <c r="U63" s="102" t="s">
        <v>74</v>
      </c>
    </row>
    <row r="64" spans="16:21" ht="27.1" hidden="1" customHeight="1" x14ac:dyDescent="0.3">
      <c r="P64" s="21">
        <v>50</v>
      </c>
      <c r="Q6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4" s="88" t="s">
        <v>73</v>
      </c>
      <c r="S64" s="88"/>
      <c r="T64" s="88"/>
      <c r="U64" s="102" t="s">
        <v>74</v>
      </c>
    </row>
    <row r="65" spans="16:21" ht="27.1" hidden="1" customHeight="1" x14ac:dyDescent="0.3">
      <c r="P65" s="21">
        <v>51</v>
      </c>
      <c r="Q6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5" s="88" t="s">
        <v>73</v>
      </c>
      <c r="S65" s="88"/>
      <c r="T65" s="88"/>
      <c r="U65" s="102" t="s">
        <v>58</v>
      </c>
    </row>
    <row r="66" spans="16:21" ht="27.1" hidden="1" customHeight="1" x14ac:dyDescent="0.3">
      <c r="P66" s="21">
        <v>52</v>
      </c>
      <c r="Q6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6" s="88" t="s">
        <v>73</v>
      </c>
      <c r="S66" s="88"/>
      <c r="T66" s="88"/>
      <c r="U66" s="102" t="s">
        <v>58</v>
      </c>
    </row>
    <row r="67" spans="16:21" ht="27.1" hidden="1" customHeight="1" x14ac:dyDescent="0.3">
      <c r="P67" s="21">
        <v>53</v>
      </c>
      <c r="Q6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7" s="88" t="s">
        <v>73</v>
      </c>
      <c r="S67" s="88"/>
      <c r="T67" s="88"/>
      <c r="U67" s="102" t="s">
        <v>55</v>
      </c>
    </row>
    <row r="68" spans="16:21" ht="27.1" hidden="1" customHeight="1" thickBot="1" x14ac:dyDescent="0.35">
      <c r="P68" s="23">
        <v>54</v>
      </c>
      <c r="Q68" s="93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68" s="93" t="s">
        <v>73</v>
      </c>
      <c r="S68" s="93"/>
      <c r="T68" s="93"/>
      <c r="U68" s="103" t="s">
        <v>55</v>
      </c>
    </row>
    <row r="69" spans="16:21" ht="27.1" hidden="1" customHeight="1" x14ac:dyDescent="0.3">
      <c r="P69" s="12">
        <v>55</v>
      </c>
      <c r="Q69" s="86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69" s="86" t="s">
        <v>17</v>
      </c>
      <c r="S69" s="86">
        <v>1</v>
      </c>
      <c r="T69" s="86">
        <v>2</v>
      </c>
      <c r="U69" s="87" t="s">
        <v>14</v>
      </c>
    </row>
    <row r="70" spans="16:21" ht="27.1" hidden="1" customHeight="1" x14ac:dyDescent="0.3">
      <c r="P70" s="14">
        <v>56</v>
      </c>
      <c r="Q7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70" s="88" t="s">
        <v>17</v>
      </c>
      <c r="S70" s="88">
        <v>4</v>
      </c>
      <c r="T70" s="88">
        <v>0</v>
      </c>
      <c r="U70" s="89" t="s">
        <v>14</v>
      </c>
    </row>
    <row r="71" spans="16:21" ht="27.1" hidden="1" customHeight="1" x14ac:dyDescent="0.3">
      <c r="P71" s="14">
        <v>57</v>
      </c>
      <c r="Q7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1" s="88" t="s">
        <v>17</v>
      </c>
      <c r="S71" s="88"/>
      <c r="T71" s="88"/>
      <c r="U71" s="89" t="s">
        <v>54</v>
      </c>
    </row>
    <row r="72" spans="16:21" ht="27.1" hidden="1" customHeight="1" x14ac:dyDescent="0.3">
      <c r="P72" s="14">
        <v>58</v>
      </c>
      <c r="Q7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2" s="88" t="s">
        <v>17</v>
      </c>
      <c r="S72" s="88"/>
      <c r="T72" s="88"/>
      <c r="U72" s="89" t="s">
        <v>54</v>
      </c>
    </row>
    <row r="73" spans="16:21" ht="27.1" hidden="1" customHeight="1" x14ac:dyDescent="0.3">
      <c r="P73" s="14">
        <v>59</v>
      </c>
      <c r="Q7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3" s="88" t="s">
        <v>17</v>
      </c>
      <c r="S73" s="88"/>
      <c r="T73" s="88"/>
      <c r="U73" s="89" t="s">
        <v>73</v>
      </c>
    </row>
    <row r="74" spans="16:21" ht="27.1" hidden="1" customHeight="1" x14ac:dyDescent="0.3">
      <c r="P74" s="14">
        <v>60</v>
      </c>
      <c r="Q7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4" s="88" t="s">
        <v>17</v>
      </c>
      <c r="S74" s="88"/>
      <c r="T74" s="88"/>
      <c r="U74" s="89" t="s">
        <v>73</v>
      </c>
    </row>
    <row r="75" spans="16:21" ht="27.1" hidden="1" customHeight="1" x14ac:dyDescent="0.3">
      <c r="P75" s="14">
        <v>61</v>
      </c>
      <c r="Q7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75" s="88" t="s">
        <v>17</v>
      </c>
      <c r="S75" s="88">
        <v>1</v>
      </c>
      <c r="T75" s="88">
        <v>2</v>
      </c>
      <c r="U75" s="89" t="s">
        <v>13</v>
      </c>
    </row>
    <row r="76" spans="16:21" ht="27.1" hidden="1" customHeight="1" x14ac:dyDescent="0.3">
      <c r="P76" s="14">
        <v>62</v>
      </c>
      <c r="Q7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76" s="88" t="s">
        <v>17</v>
      </c>
      <c r="S76" s="88">
        <v>1</v>
      </c>
      <c r="T76" s="88">
        <v>2</v>
      </c>
      <c r="U76" s="89" t="s">
        <v>13</v>
      </c>
    </row>
    <row r="77" spans="16:21" ht="27.1" hidden="1" customHeight="1" x14ac:dyDescent="0.3">
      <c r="P77" s="14">
        <v>63</v>
      </c>
      <c r="Q7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77" s="88" t="s">
        <v>17</v>
      </c>
      <c r="S77" s="88">
        <v>5</v>
      </c>
      <c r="T77" s="88">
        <v>2</v>
      </c>
      <c r="U77" s="89" t="s">
        <v>15</v>
      </c>
    </row>
    <row r="78" spans="16:21" ht="27.1" hidden="1" customHeight="1" x14ac:dyDescent="0.3">
      <c r="P78" s="14">
        <v>64</v>
      </c>
      <c r="Q7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78" s="88" t="s">
        <v>17</v>
      </c>
      <c r="S78" s="88">
        <v>5</v>
      </c>
      <c r="T78" s="88">
        <v>1</v>
      </c>
      <c r="U78" s="89" t="s">
        <v>15</v>
      </c>
    </row>
    <row r="79" spans="16:21" ht="27.1" hidden="1" customHeight="1" x14ac:dyDescent="0.3">
      <c r="P79" s="14">
        <v>65</v>
      </c>
      <c r="Q7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9" s="88" t="s">
        <v>17</v>
      </c>
      <c r="S79" s="88"/>
      <c r="T79" s="88"/>
      <c r="U79" s="89" t="s">
        <v>16</v>
      </c>
    </row>
    <row r="80" spans="16:21" ht="27.1" hidden="1" customHeight="1" x14ac:dyDescent="0.3">
      <c r="P80" s="14">
        <v>66</v>
      </c>
      <c r="Q8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0" s="88" t="s">
        <v>17</v>
      </c>
      <c r="S80" s="88"/>
      <c r="T80" s="88"/>
      <c r="U80" s="89" t="s">
        <v>16</v>
      </c>
    </row>
    <row r="81" spans="16:21" ht="27.1" hidden="1" customHeight="1" x14ac:dyDescent="0.3">
      <c r="P81" s="14">
        <v>67</v>
      </c>
      <c r="Q8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1" s="88" t="s">
        <v>17</v>
      </c>
      <c r="S81" s="88"/>
      <c r="T81" s="88"/>
      <c r="U81" s="89" t="s">
        <v>74</v>
      </c>
    </row>
    <row r="82" spans="16:21" ht="27.1" hidden="1" customHeight="1" x14ac:dyDescent="0.3">
      <c r="P82" s="14">
        <v>68</v>
      </c>
      <c r="Q8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2" s="88" t="s">
        <v>17</v>
      </c>
      <c r="S82" s="88"/>
      <c r="T82" s="88"/>
      <c r="U82" s="89" t="s">
        <v>74</v>
      </c>
    </row>
    <row r="83" spans="16:21" ht="27.1" hidden="1" customHeight="1" x14ac:dyDescent="0.3">
      <c r="P83" s="14">
        <v>69</v>
      </c>
      <c r="Q8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3" s="88" t="s">
        <v>17</v>
      </c>
      <c r="S83" s="88"/>
      <c r="T83" s="88"/>
      <c r="U83" s="89" t="s">
        <v>58</v>
      </c>
    </row>
    <row r="84" spans="16:21" ht="27.1" hidden="1" customHeight="1" x14ac:dyDescent="0.3">
      <c r="P84" s="14">
        <v>70</v>
      </c>
      <c r="Q8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4" s="88" t="s">
        <v>17</v>
      </c>
      <c r="S84" s="88"/>
      <c r="T84" s="88"/>
      <c r="U84" s="89" t="s">
        <v>58</v>
      </c>
    </row>
    <row r="85" spans="16:21" ht="27.1" hidden="1" customHeight="1" x14ac:dyDescent="0.3">
      <c r="P85" s="14">
        <v>71</v>
      </c>
      <c r="Q8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85" s="88" t="s">
        <v>17</v>
      </c>
      <c r="S85" s="88">
        <v>2</v>
      </c>
      <c r="T85" s="88">
        <v>0</v>
      </c>
      <c r="U85" s="89" t="s">
        <v>55</v>
      </c>
    </row>
    <row r="86" spans="16:21" ht="27.1" hidden="1" customHeight="1" thickBot="1" x14ac:dyDescent="0.3">
      <c r="P86" s="16">
        <v>72</v>
      </c>
      <c r="Q86" s="9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86" s="90" t="s">
        <v>17</v>
      </c>
      <c r="S86" s="90">
        <v>3</v>
      </c>
      <c r="T86" s="90">
        <v>1</v>
      </c>
      <c r="U86" s="91" t="s">
        <v>55</v>
      </c>
    </row>
    <row r="87" spans="16:21" ht="27.1" hidden="1" customHeight="1" x14ac:dyDescent="0.3">
      <c r="P87" s="26">
        <v>73</v>
      </c>
      <c r="Q87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7" s="92" t="s">
        <v>13</v>
      </c>
      <c r="S87" s="92">
        <v>0</v>
      </c>
      <c r="T87" s="92">
        <v>3</v>
      </c>
      <c r="U87" s="101" t="s">
        <v>14</v>
      </c>
    </row>
    <row r="88" spans="16:21" ht="27.1" hidden="1" customHeight="1" x14ac:dyDescent="0.3">
      <c r="P88" s="21">
        <v>74</v>
      </c>
      <c r="Q8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8" s="88" t="s">
        <v>13</v>
      </c>
      <c r="S88" s="88">
        <v>2</v>
      </c>
      <c r="T88" s="88">
        <v>3</v>
      </c>
      <c r="U88" s="102" t="s">
        <v>14</v>
      </c>
    </row>
    <row r="89" spans="16:21" ht="27.1" hidden="1" customHeight="1" x14ac:dyDescent="0.3">
      <c r="P89" s="21">
        <v>75</v>
      </c>
      <c r="Q8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9" s="88" t="s">
        <v>13</v>
      </c>
      <c r="S89" s="88"/>
      <c r="T89" s="88"/>
      <c r="U89" s="102" t="s">
        <v>54</v>
      </c>
    </row>
    <row r="90" spans="16:21" ht="27.1" hidden="1" customHeight="1" x14ac:dyDescent="0.3">
      <c r="P90" s="21">
        <v>76</v>
      </c>
      <c r="Q9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0" s="88" t="s">
        <v>13</v>
      </c>
      <c r="S90" s="88"/>
      <c r="T90" s="88"/>
      <c r="U90" s="102" t="s">
        <v>54</v>
      </c>
    </row>
    <row r="91" spans="16:21" ht="27.1" hidden="1" customHeight="1" x14ac:dyDescent="0.3">
      <c r="P91" s="21">
        <v>77</v>
      </c>
      <c r="Q9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1" s="88" t="s">
        <v>13</v>
      </c>
      <c r="S91" s="88"/>
      <c r="T91" s="88"/>
      <c r="U91" s="102" t="s">
        <v>73</v>
      </c>
    </row>
    <row r="92" spans="16:21" ht="27.1" hidden="1" customHeight="1" x14ac:dyDescent="0.3">
      <c r="P92" s="21">
        <v>78</v>
      </c>
      <c r="Q9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2" s="88" t="s">
        <v>13</v>
      </c>
      <c r="S92" s="88"/>
      <c r="T92" s="88"/>
      <c r="U92" s="102" t="s">
        <v>73</v>
      </c>
    </row>
    <row r="93" spans="16:21" ht="27.1" hidden="1" customHeight="1" x14ac:dyDescent="0.3">
      <c r="P93" s="21">
        <v>79</v>
      </c>
      <c r="Q9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93" s="88" t="s">
        <v>13</v>
      </c>
      <c r="S93" s="88">
        <v>2</v>
      </c>
      <c r="T93" s="88">
        <v>1</v>
      </c>
      <c r="U93" s="102" t="s">
        <v>17</v>
      </c>
    </row>
    <row r="94" spans="16:21" ht="27.1" hidden="1" customHeight="1" x14ac:dyDescent="0.3">
      <c r="P94" s="21">
        <v>80</v>
      </c>
      <c r="Q9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94" s="88" t="s">
        <v>13</v>
      </c>
      <c r="S94" s="88">
        <v>2</v>
      </c>
      <c r="T94" s="88">
        <v>1</v>
      </c>
      <c r="U94" s="102" t="s">
        <v>17</v>
      </c>
    </row>
    <row r="95" spans="16:21" ht="27.1" hidden="1" customHeight="1" x14ac:dyDescent="0.3">
      <c r="P95" s="21">
        <v>81</v>
      </c>
      <c r="Q9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5" s="88" t="s">
        <v>13</v>
      </c>
      <c r="S95" s="88"/>
      <c r="T95" s="88"/>
      <c r="U95" s="102" t="s">
        <v>15</v>
      </c>
    </row>
    <row r="96" spans="16:21" ht="27.1" hidden="1" customHeight="1" x14ac:dyDescent="0.3">
      <c r="P96" s="21">
        <v>82</v>
      </c>
      <c r="Q9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6" s="88" t="s">
        <v>13</v>
      </c>
      <c r="S96" s="88"/>
      <c r="T96" s="88"/>
      <c r="U96" s="102" t="s">
        <v>15</v>
      </c>
    </row>
    <row r="97" spans="16:21" ht="27.1" hidden="1" customHeight="1" x14ac:dyDescent="0.3">
      <c r="P97" s="21">
        <v>83</v>
      </c>
      <c r="Q9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97" s="88" t="s">
        <v>13</v>
      </c>
      <c r="S97" s="88">
        <v>3</v>
      </c>
      <c r="T97" s="88">
        <v>4</v>
      </c>
      <c r="U97" s="102" t="s">
        <v>16</v>
      </c>
    </row>
    <row r="98" spans="16:21" ht="27.1" hidden="1" customHeight="1" x14ac:dyDescent="0.3">
      <c r="P98" s="21">
        <v>84</v>
      </c>
      <c r="Q9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98" s="88" t="s">
        <v>13</v>
      </c>
      <c r="S98" s="88">
        <v>3</v>
      </c>
      <c r="T98" s="88">
        <v>5</v>
      </c>
      <c r="U98" s="102" t="s">
        <v>16</v>
      </c>
    </row>
    <row r="99" spans="16:21" ht="27.1" hidden="1" customHeight="1" x14ac:dyDescent="0.3">
      <c r="P99" s="21">
        <v>85</v>
      </c>
      <c r="Q9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9" s="88" t="s">
        <v>13</v>
      </c>
      <c r="S99" s="88"/>
      <c r="T99" s="88"/>
      <c r="U99" s="102" t="s">
        <v>74</v>
      </c>
    </row>
    <row r="100" spans="16:21" ht="27.1" hidden="1" customHeight="1" x14ac:dyDescent="0.3">
      <c r="P100" s="21">
        <v>86</v>
      </c>
      <c r="Q10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0" s="88" t="s">
        <v>13</v>
      </c>
      <c r="S100" s="88"/>
      <c r="T100" s="88"/>
      <c r="U100" s="102" t="s">
        <v>74</v>
      </c>
    </row>
    <row r="101" spans="16:21" ht="27.1" hidden="1" customHeight="1" x14ac:dyDescent="0.3">
      <c r="P101" s="21">
        <v>87</v>
      </c>
      <c r="Q10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1" s="88" t="s">
        <v>13</v>
      </c>
      <c r="S101" s="88"/>
      <c r="T101" s="88"/>
      <c r="U101" s="102" t="s">
        <v>58</v>
      </c>
    </row>
    <row r="102" spans="16:21" ht="27.1" hidden="1" customHeight="1" x14ac:dyDescent="0.3">
      <c r="P102" s="21">
        <v>88</v>
      </c>
      <c r="Q10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2" s="88" t="s">
        <v>13</v>
      </c>
      <c r="S102" s="88"/>
      <c r="T102" s="88"/>
      <c r="U102" s="102" t="s">
        <v>58</v>
      </c>
    </row>
    <row r="103" spans="16:21" ht="27.1" hidden="1" customHeight="1" x14ac:dyDescent="0.3">
      <c r="P103" s="21">
        <v>89</v>
      </c>
      <c r="Q10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03" s="88" t="s">
        <v>13</v>
      </c>
      <c r="S103" s="88">
        <v>5</v>
      </c>
      <c r="T103" s="88">
        <v>3</v>
      </c>
      <c r="U103" s="102" t="s">
        <v>55</v>
      </c>
    </row>
    <row r="104" spans="16:21" ht="27.1" hidden="1" customHeight="1" thickBot="1" x14ac:dyDescent="0.35">
      <c r="P104" s="23">
        <v>90</v>
      </c>
      <c r="Q104" s="93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04" s="93" t="s">
        <v>13</v>
      </c>
      <c r="S104" s="93">
        <v>8</v>
      </c>
      <c r="T104" s="93">
        <v>0</v>
      </c>
      <c r="U104" s="103" t="s">
        <v>55</v>
      </c>
    </row>
    <row r="105" spans="16:21" ht="27.1" hidden="1" customHeight="1" x14ac:dyDescent="0.3">
      <c r="P105" s="12">
        <v>91</v>
      </c>
      <c r="Q105" s="86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05" s="86" t="s">
        <v>15</v>
      </c>
      <c r="S105" s="86">
        <v>1</v>
      </c>
      <c r="T105" s="86">
        <v>4</v>
      </c>
      <c r="U105" s="87" t="s">
        <v>14</v>
      </c>
    </row>
    <row r="106" spans="16:21" ht="27.1" hidden="1" customHeight="1" x14ac:dyDescent="0.3">
      <c r="P106" s="14">
        <v>92</v>
      </c>
      <c r="Q10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06" s="88" t="s">
        <v>15</v>
      </c>
      <c r="S106" s="88">
        <v>1</v>
      </c>
      <c r="T106" s="88">
        <v>3</v>
      </c>
      <c r="U106" s="89" t="s">
        <v>14</v>
      </c>
    </row>
    <row r="107" spans="16:21" ht="27.1" hidden="1" customHeight="1" x14ac:dyDescent="0.3">
      <c r="P107" s="14">
        <v>93</v>
      </c>
      <c r="Q10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7" s="88" t="s">
        <v>15</v>
      </c>
      <c r="S107" s="88"/>
      <c r="T107" s="88"/>
      <c r="U107" s="89" t="s">
        <v>54</v>
      </c>
    </row>
    <row r="108" spans="16:21" ht="27.1" hidden="1" customHeight="1" x14ac:dyDescent="0.3">
      <c r="P108" s="14">
        <v>94</v>
      </c>
      <c r="Q10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8" s="88" t="s">
        <v>15</v>
      </c>
      <c r="S108" s="88"/>
      <c r="T108" s="88"/>
      <c r="U108" s="89" t="s">
        <v>54</v>
      </c>
    </row>
    <row r="109" spans="16:21" ht="27.1" hidden="1" customHeight="1" x14ac:dyDescent="0.3">
      <c r="P109" s="14">
        <v>95</v>
      </c>
      <c r="Q10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9" s="88" t="s">
        <v>15</v>
      </c>
      <c r="S109" s="88"/>
      <c r="T109" s="88"/>
      <c r="U109" s="89" t="s">
        <v>73</v>
      </c>
    </row>
    <row r="110" spans="16:21" ht="27.1" hidden="1" customHeight="1" x14ac:dyDescent="0.3">
      <c r="P110" s="14">
        <v>96</v>
      </c>
      <c r="Q11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0" s="88" t="s">
        <v>15</v>
      </c>
      <c r="S110" s="88"/>
      <c r="T110" s="88"/>
      <c r="U110" s="89" t="s">
        <v>73</v>
      </c>
    </row>
    <row r="111" spans="16:21" ht="27.1" hidden="1" customHeight="1" x14ac:dyDescent="0.3">
      <c r="P111" s="14">
        <v>97</v>
      </c>
      <c r="Q11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11" s="88" t="s">
        <v>15</v>
      </c>
      <c r="S111" s="88">
        <v>2</v>
      </c>
      <c r="T111" s="88">
        <v>5</v>
      </c>
      <c r="U111" s="89" t="s">
        <v>17</v>
      </c>
    </row>
    <row r="112" spans="16:21" ht="27.1" hidden="1" customHeight="1" x14ac:dyDescent="0.3">
      <c r="P112" s="14">
        <v>98</v>
      </c>
      <c r="Q11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12" s="88" t="s">
        <v>15</v>
      </c>
      <c r="S112" s="88">
        <v>1</v>
      </c>
      <c r="T112" s="88">
        <v>5</v>
      </c>
      <c r="U112" s="89" t="s">
        <v>17</v>
      </c>
    </row>
    <row r="113" spans="16:21" ht="27.1" hidden="1" customHeight="1" x14ac:dyDescent="0.3">
      <c r="P113" s="14">
        <v>99</v>
      </c>
      <c r="Q11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3" s="88" t="s">
        <v>15</v>
      </c>
      <c r="S113" s="88"/>
      <c r="T113" s="88"/>
      <c r="U113" s="89" t="s">
        <v>13</v>
      </c>
    </row>
    <row r="114" spans="16:21" ht="27.1" hidden="1" customHeight="1" x14ac:dyDescent="0.3">
      <c r="P114" s="14">
        <v>100</v>
      </c>
      <c r="Q11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4" s="88" t="s">
        <v>15</v>
      </c>
      <c r="S114" s="88"/>
      <c r="T114" s="88"/>
      <c r="U114" s="89" t="s">
        <v>13</v>
      </c>
    </row>
    <row r="115" spans="16:21" ht="27.1" hidden="1" customHeight="1" x14ac:dyDescent="0.3">
      <c r="P115" s="14">
        <v>101</v>
      </c>
      <c r="Q11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5" s="88" t="s">
        <v>15</v>
      </c>
      <c r="S115" s="88"/>
      <c r="T115" s="88"/>
      <c r="U115" s="89" t="s">
        <v>16</v>
      </c>
    </row>
    <row r="116" spans="16:21" ht="27.1" hidden="1" customHeight="1" x14ac:dyDescent="0.3">
      <c r="P116" s="14">
        <v>102</v>
      </c>
      <c r="Q11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6" s="88" t="s">
        <v>15</v>
      </c>
      <c r="S116" s="88"/>
      <c r="T116" s="88"/>
      <c r="U116" s="89" t="s">
        <v>16</v>
      </c>
    </row>
    <row r="117" spans="16:21" ht="27.1" hidden="1" customHeight="1" x14ac:dyDescent="0.3">
      <c r="P117" s="14">
        <v>103</v>
      </c>
      <c r="Q11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7" s="88" t="s">
        <v>15</v>
      </c>
      <c r="S117" s="88"/>
      <c r="T117" s="88"/>
      <c r="U117" s="89" t="s">
        <v>74</v>
      </c>
    </row>
    <row r="118" spans="16:21" ht="27.1" hidden="1" customHeight="1" x14ac:dyDescent="0.3">
      <c r="P118" s="14">
        <v>104</v>
      </c>
      <c r="Q11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8" s="88" t="s">
        <v>15</v>
      </c>
      <c r="S118" s="88"/>
      <c r="T118" s="88"/>
      <c r="U118" s="89" t="s">
        <v>74</v>
      </c>
    </row>
    <row r="119" spans="16:21" ht="27.1" hidden="1" customHeight="1" x14ac:dyDescent="0.3">
      <c r="P119" s="14">
        <v>105</v>
      </c>
      <c r="Q11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9" s="88" t="s">
        <v>15</v>
      </c>
      <c r="S119" s="88"/>
      <c r="T119" s="88"/>
      <c r="U119" s="89" t="s">
        <v>58</v>
      </c>
    </row>
    <row r="120" spans="16:21" ht="27.1" hidden="1" customHeight="1" x14ac:dyDescent="0.3">
      <c r="P120" s="14">
        <v>106</v>
      </c>
      <c r="Q12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0" s="88" t="s">
        <v>15</v>
      </c>
      <c r="S120" s="88"/>
      <c r="T120" s="88"/>
      <c r="U120" s="89" t="s">
        <v>58</v>
      </c>
    </row>
    <row r="121" spans="16:21" ht="27.1" hidden="1" customHeight="1" x14ac:dyDescent="0.3">
      <c r="P121" s="14">
        <v>107</v>
      </c>
      <c r="Q12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1" s="88" t="s">
        <v>15</v>
      </c>
      <c r="S121" s="88"/>
      <c r="T121" s="88"/>
      <c r="U121" s="89" t="s">
        <v>55</v>
      </c>
    </row>
    <row r="122" spans="16:21" ht="27.1" hidden="1" customHeight="1" thickBot="1" x14ac:dyDescent="0.3">
      <c r="P122" s="16">
        <v>108</v>
      </c>
      <c r="Q122" s="9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2" s="90" t="s">
        <v>15</v>
      </c>
      <c r="S122" s="90"/>
      <c r="T122" s="90"/>
      <c r="U122" s="91" t="s">
        <v>55</v>
      </c>
    </row>
    <row r="123" spans="16:21" ht="27.1" hidden="1" customHeight="1" x14ac:dyDescent="0.3">
      <c r="P123" s="26">
        <v>109</v>
      </c>
      <c r="Q123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3" s="92" t="s">
        <v>16</v>
      </c>
      <c r="S123" s="92"/>
      <c r="T123" s="92"/>
      <c r="U123" s="101" t="s">
        <v>14</v>
      </c>
    </row>
    <row r="124" spans="16:21" ht="27.1" hidden="1" customHeight="1" x14ac:dyDescent="0.3">
      <c r="P124" s="21">
        <v>110</v>
      </c>
      <c r="Q12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4" s="88" t="s">
        <v>16</v>
      </c>
      <c r="S124" s="88"/>
      <c r="T124" s="88"/>
      <c r="U124" s="102" t="s">
        <v>14</v>
      </c>
    </row>
    <row r="125" spans="16:21" ht="27.1" hidden="1" customHeight="1" x14ac:dyDescent="0.3">
      <c r="P125" s="21">
        <v>111</v>
      </c>
      <c r="Q12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5" s="88" t="s">
        <v>16</v>
      </c>
      <c r="S125" s="88"/>
      <c r="T125" s="88"/>
      <c r="U125" s="102" t="s">
        <v>54</v>
      </c>
    </row>
    <row r="126" spans="16:21" ht="27.1" hidden="1" customHeight="1" x14ac:dyDescent="0.3">
      <c r="P126" s="21">
        <v>112</v>
      </c>
      <c r="Q12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6" s="88" t="s">
        <v>16</v>
      </c>
      <c r="S126" s="88"/>
      <c r="T126" s="88"/>
      <c r="U126" s="102" t="s">
        <v>54</v>
      </c>
    </row>
    <row r="127" spans="16:21" ht="27.1" hidden="1" customHeight="1" x14ac:dyDescent="0.3">
      <c r="P127" s="21">
        <v>113</v>
      </c>
      <c r="Q12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7" s="88" t="s">
        <v>16</v>
      </c>
      <c r="S127" s="88"/>
      <c r="T127" s="88"/>
      <c r="U127" s="102" t="s">
        <v>73</v>
      </c>
    </row>
    <row r="128" spans="16:21" ht="27.1" hidden="1" customHeight="1" x14ac:dyDescent="0.3">
      <c r="P128" s="21">
        <v>114</v>
      </c>
      <c r="Q12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8" s="88" t="s">
        <v>16</v>
      </c>
      <c r="S128" s="88"/>
      <c r="T128" s="88"/>
      <c r="U128" s="102" t="s">
        <v>73</v>
      </c>
    </row>
    <row r="129" spans="16:21" ht="27.1" hidden="1" customHeight="1" x14ac:dyDescent="0.3">
      <c r="P129" s="21">
        <v>115</v>
      </c>
      <c r="Q12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9" s="88" t="s">
        <v>16</v>
      </c>
      <c r="S129" s="88"/>
      <c r="T129" s="88"/>
      <c r="U129" s="102" t="s">
        <v>17</v>
      </c>
    </row>
    <row r="130" spans="16:21" ht="27.1" hidden="1" customHeight="1" x14ac:dyDescent="0.3">
      <c r="P130" s="21">
        <v>116</v>
      </c>
      <c r="Q13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0" s="88" t="s">
        <v>16</v>
      </c>
      <c r="S130" s="88"/>
      <c r="T130" s="88"/>
      <c r="U130" s="102" t="s">
        <v>17</v>
      </c>
    </row>
    <row r="131" spans="16:21" ht="27.1" hidden="1" customHeight="1" x14ac:dyDescent="0.3">
      <c r="P131" s="21">
        <v>117</v>
      </c>
      <c r="Q13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31" s="88" t="s">
        <v>16</v>
      </c>
      <c r="S131" s="88">
        <v>4</v>
      </c>
      <c r="T131" s="88">
        <v>3</v>
      </c>
      <c r="U131" s="102" t="s">
        <v>13</v>
      </c>
    </row>
    <row r="132" spans="16:21" ht="27.1" hidden="1" customHeight="1" x14ac:dyDescent="0.3">
      <c r="P132" s="21">
        <v>118</v>
      </c>
      <c r="Q13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32" s="88" t="s">
        <v>16</v>
      </c>
      <c r="S132" s="88">
        <v>5</v>
      </c>
      <c r="T132" s="88">
        <v>3</v>
      </c>
      <c r="U132" s="102" t="s">
        <v>13</v>
      </c>
    </row>
    <row r="133" spans="16:21" ht="27.1" hidden="1" customHeight="1" x14ac:dyDescent="0.3">
      <c r="P133" s="21">
        <v>119</v>
      </c>
      <c r="Q13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3" s="88" t="s">
        <v>16</v>
      </c>
      <c r="S133" s="88"/>
      <c r="T133" s="88"/>
      <c r="U133" s="102" t="s">
        <v>15</v>
      </c>
    </row>
    <row r="134" spans="16:21" ht="27.1" hidden="1" customHeight="1" x14ac:dyDescent="0.3">
      <c r="P134" s="21">
        <v>120</v>
      </c>
      <c r="Q13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4" s="88" t="s">
        <v>16</v>
      </c>
      <c r="S134" s="88"/>
      <c r="T134" s="88"/>
      <c r="U134" s="102" t="s">
        <v>15</v>
      </c>
    </row>
    <row r="135" spans="16:21" ht="27.1" hidden="1" customHeight="1" x14ac:dyDescent="0.3">
      <c r="P135" s="21">
        <v>121</v>
      </c>
      <c r="Q13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5" s="88" t="s">
        <v>16</v>
      </c>
      <c r="S135" s="88"/>
      <c r="T135" s="88"/>
      <c r="U135" s="102" t="s">
        <v>74</v>
      </c>
    </row>
    <row r="136" spans="16:21" ht="27.1" hidden="1" customHeight="1" x14ac:dyDescent="0.3">
      <c r="P136" s="21">
        <v>122</v>
      </c>
      <c r="Q13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6" s="88" t="s">
        <v>16</v>
      </c>
      <c r="S136" s="88"/>
      <c r="T136" s="88"/>
      <c r="U136" s="102" t="s">
        <v>74</v>
      </c>
    </row>
    <row r="137" spans="16:21" ht="27.1" hidden="1" customHeight="1" x14ac:dyDescent="0.3">
      <c r="P137" s="21">
        <v>123</v>
      </c>
      <c r="Q13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7" s="88" t="s">
        <v>16</v>
      </c>
      <c r="S137" s="88"/>
      <c r="T137" s="88"/>
      <c r="U137" s="102" t="s">
        <v>58</v>
      </c>
    </row>
    <row r="138" spans="16:21" ht="27.1" hidden="1" customHeight="1" x14ac:dyDescent="0.3">
      <c r="P138" s="21">
        <v>124</v>
      </c>
      <c r="Q13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8" s="88" t="s">
        <v>16</v>
      </c>
      <c r="S138" s="88"/>
      <c r="T138" s="88"/>
      <c r="U138" s="102" t="s">
        <v>58</v>
      </c>
    </row>
    <row r="139" spans="16:21" ht="27.1" hidden="1" customHeight="1" x14ac:dyDescent="0.3">
      <c r="P139" s="21">
        <v>125</v>
      </c>
      <c r="Q13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39" s="88" t="s">
        <v>16</v>
      </c>
      <c r="S139" s="88"/>
      <c r="T139" s="88"/>
      <c r="U139" s="102" t="s">
        <v>55</v>
      </c>
    </row>
    <row r="140" spans="16:21" ht="27.1" hidden="1" customHeight="1" thickBot="1" x14ac:dyDescent="0.35">
      <c r="P140" s="23">
        <v>126</v>
      </c>
      <c r="Q140" s="93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0" s="93" t="s">
        <v>16</v>
      </c>
      <c r="S140" s="93"/>
      <c r="T140" s="93"/>
      <c r="U140" s="103" t="s">
        <v>55</v>
      </c>
    </row>
    <row r="141" spans="16:21" ht="27.1" customHeight="1" x14ac:dyDescent="0.3">
      <c r="P141" s="12">
        <v>127</v>
      </c>
      <c r="Q141" s="86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141" s="86" t="s">
        <v>74</v>
      </c>
      <c r="S141" s="86">
        <v>1</v>
      </c>
      <c r="T141" s="86">
        <v>1</v>
      </c>
      <c r="U141" s="87" t="s">
        <v>14</v>
      </c>
    </row>
    <row r="142" spans="16:21" ht="27.1" customHeight="1" x14ac:dyDescent="0.3">
      <c r="P142" s="14">
        <v>128</v>
      </c>
      <c r="Q14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42" s="88" t="s">
        <v>74</v>
      </c>
      <c r="S142" s="88">
        <v>1</v>
      </c>
      <c r="T142" s="88">
        <v>0</v>
      </c>
      <c r="U142" s="89" t="s">
        <v>14</v>
      </c>
    </row>
    <row r="143" spans="16:21" ht="27.1" hidden="1" customHeight="1" x14ac:dyDescent="0.3">
      <c r="P143" s="14">
        <v>129</v>
      </c>
      <c r="Q14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3" s="88" t="s">
        <v>74</v>
      </c>
      <c r="S143" s="88"/>
      <c r="T143" s="88"/>
      <c r="U143" s="89" t="s">
        <v>54</v>
      </c>
    </row>
    <row r="144" spans="16:21" ht="27.1" hidden="1" customHeight="1" x14ac:dyDescent="0.3">
      <c r="P144" s="14">
        <v>130</v>
      </c>
      <c r="Q14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4" s="88" t="s">
        <v>74</v>
      </c>
      <c r="S144" s="88"/>
      <c r="T144" s="88"/>
      <c r="U144" s="89" t="s">
        <v>54</v>
      </c>
    </row>
    <row r="145" spans="16:21" ht="27.1" hidden="1" customHeight="1" x14ac:dyDescent="0.3">
      <c r="P145" s="14">
        <v>131</v>
      </c>
      <c r="Q14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5" s="88" t="s">
        <v>74</v>
      </c>
      <c r="S145" s="88"/>
      <c r="T145" s="88"/>
      <c r="U145" s="89" t="s">
        <v>73</v>
      </c>
    </row>
    <row r="146" spans="16:21" ht="27.1" hidden="1" customHeight="1" x14ac:dyDescent="0.3">
      <c r="P146" s="14">
        <v>132</v>
      </c>
      <c r="Q14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6" s="88" t="s">
        <v>74</v>
      </c>
      <c r="S146" s="88"/>
      <c r="T146" s="88"/>
      <c r="U146" s="89" t="s">
        <v>73</v>
      </c>
    </row>
    <row r="147" spans="16:21" ht="27.1" hidden="1" customHeight="1" x14ac:dyDescent="0.3">
      <c r="P147" s="14">
        <v>133</v>
      </c>
      <c r="Q14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7" s="88" t="s">
        <v>74</v>
      </c>
      <c r="S147" s="88"/>
      <c r="T147" s="88"/>
      <c r="U147" s="89" t="s">
        <v>17</v>
      </c>
    </row>
    <row r="148" spans="16:21" ht="27.1" hidden="1" customHeight="1" x14ac:dyDescent="0.3">
      <c r="P148" s="14">
        <v>134</v>
      </c>
      <c r="Q14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8" s="88" t="s">
        <v>74</v>
      </c>
      <c r="S148" s="88"/>
      <c r="T148" s="88"/>
      <c r="U148" s="89" t="s">
        <v>17</v>
      </c>
    </row>
    <row r="149" spans="16:21" ht="27.1" hidden="1" customHeight="1" x14ac:dyDescent="0.3">
      <c r="P149" s="14">
        <v>135</v>
      </c>
      <c r="Q14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49" s="88" t="s">
        <v>74</v>
      </c>
      <c r="S149" s="88"/>
      <c r="T149" s="88"/>
      <c r="U149" s="89" t="s">
        <v>13</v>
      </c>
    </row>
    <row r="150" spans="16:21" ht="27.1" hidden="1" customHeight="1" x14ac:dyDescent="0.3">
      <c r="P150" s="14">
        <v>136</v>
      </c>
      <c r="Q15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0" s="88" t="s">
        <v>74</v>
      </c>
      <c r="S150" s="88"/>
      <c r="T150" s="88"/>
      <c r="U150" s="89" t="s">
        <v>13</v>
      </c>
    </row>
    <row r="151" spans="16:21" ht="27.1" hidden="1" customHeight="1" x14ac:dyDescent="0.3">
      <c r="P151" s="14">
        <v>137</v>
      </c>
      <c r="Q15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1" s="88" t="s">
        <v>74</v>
      </c>
      <c r="S151" s="88"/>
      <c r="T151" s="88"/>
      <c r="U151" s="89" t="s">
        <v>15</v>
      </c>
    </row>
    <row r="152" spans="16:21" ht="27.1" hidden="1" customHeight="1" x14ac:dyDescent="0.3">
      <c r="P152" s="14">
        <v>138</v>
      </c>
      <c r="Q15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2" s="88" t="s">
        <v>74</v>
      </c>
      <c r="S152" s="88"/>
      <c r="T152" s="88"/>
      <c r="U152" s="89" t="s">
        <v>15</v>
      </c>
    </row>
    <row r="153" spans="16:21" ht="27.1" hidden="1" customHeight="1" x14ac:dyDescent="0.3">
      <c r="P153" s="14">
        <v>139</v>
      </c>
      <c r="Q15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3" s="88" t="s">
        <v>74</v>
      </c>
      <c r="S153" s="88"/>
      <c r="T153" s="88"/>
      <c r="U153" s="89" t="s">
        <v>16</v>
      </c>
    </row>
    <row r="154" spans="16:21" ht="27.1" hidden="1" customHeight="1" x14ac:dyDescent="0.3">
      <c r="P154" s="14">
        <v>140</v>
      </c>
      <c r="Q15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4" s="88" t="s">
        <v>74</v>
      </c>
      <c r="S154" s="88"/>
      <c r="T154" s="88"/>
      <c r="U154" s="89" t="s">
        <v>16</v>
      </c>
    </row>
    <row r="155" spans="16:21" ht="27.1" hidden="1" customHeight="1" x14ac:dyDescent="0.3">
      <c r="P155" s="14">
        <v>141</v>
      </c>
      <c r="Q15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5" s="88" t="s">
        <v>74</v>
      </c>
      <c r="S155" s="88"/>
      <c r="T155" s="88"/>
      <c r="U155" s="89" t="s">
        <v>58</v>
      </c>
    </row>
    <row r="156" spans="16:21" ht="27.1" hidden="1" customHeight="1" x14ac:dyDescent="0.3">
      <c r="P156" s="14">
        <v>142</v>
      </c>
      <c r="Q15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6" s="88" t="s">
        <v>74</v>
      </c>
      <c r="S156" s="88"/>
      <c r="T156" s="88"/>
      <c r="U156" s="89" t="s">
        <v>58</v>
      </c>
    </row>
    <row r="157" spans="16:21" ht="27.1" hidden="1" customHeight="1" x14ac:dyDescent="0.3">
      <c r="P157" s="14">
        <v>143</v>
      </c>
      <c r="Q15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7" s="88" t="s">
        <v>74</v>
      </c>
      <c r="S157" s="88"/>
      <c r="T157" s="88"/>
      <c r="U157" s="89" t="s">
        <v>55</v>
      </c>
    </row>
    <row r="158" spans="16:21" ht="27.1" hidden="1" customHeight="1" x14ac:dyDescent="0.3">
      <c r="P158" s="16">
        <v>144</v>
      </c>
      <c r="Q158" s="90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58" s="90" t="s">
        <v>74</v>
      </c>
      <c r="S158" s="90"/>
      <c r="T158" s="90"/>
      <c r="U158" s="91" t="s">
        <v>55</v>
      </c>
    </row>
    <row r="159" spans="16:21" ht="27.1" hidden="1" customHeight="1" x14ac:dyDescent="0.3">
      <c r="P159" s="26">
        <v>145</v>
      </c>
      <c r="Q159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59" s="92" t="s">
        <v>58</v>
      </c>
      <c r="S159" s="92">
        <v>0</v>
      </c>
      <c r="T159" s="92">
        <v>3</v>
      </c>
      <c r="U159" s="101" t="s">
        <v>14</v>
      </c>
    </row>
    <row r="160" spans="16:21" ht="27.1" hidden="1" customHeight="1" x14ac:dyDescent="0.3">
      <c r="P160" s="21">
        <v>146</v>
      </c>
      <c r="Q16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60" s="88" t="s">
        <v>58</v>
      </c>
      <c r="S160" s="88">
        <v>1</v>
      </c>
      <c r="T160" s="88">
        <v>5</v>
      </c>
      <c r="U160" s="102" t="s">
        <v>14</v>
      </c>
    </row>
    <row r="161" spans="16:21" ht="27.1" hidden="1" customHeight="1" x14ac:dyDescent="0.3">
      <c r="P161" s="21">
        <v>147</v>
      </c>
      <c r="Q16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1" s="88" t="s">
        <v>58</v>
      </c>
      <c r="S161" s="88"/>
      <c r="T161" s="88"/>
      <c r="U161" s="102" t="s">
        <v>54</v>
      </c>
    </row>
    <row r="162" spans="16:21" ht="27.1" hidden="1" customHeight="1" x14ac:dyDescent="0.3">
      <c r="P162" s="21">
        <v>148</v>
      </c>
      <c r="Q16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2" s="88" t="s">
        <v>58</v>
      </c>
      <c r="S162" s="88"/>
      <c r="T162" s="88"/>
      <c r="U162" s="102" t="s">
        <v>54</v>
      </c>
    </row>
    <row r="163" spans="16:21" ht="27.1" hidden="1" customHeight="1" x14ac:dyDescent="0.3">
      <c r="P163" s="21">
        <v>149</v>
      </c>
      <c r="Q16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3" s="88" t="s">
        <v>58</v>
      </c>
      <c r="S163" s="88"/>
      <c r="T163" s="88"/>
      <c r="U163" s="102" t="s">
        <v>73</v>
      </c>
    </row>
    <row r="164" spans="16:21" ht="27.1" hidden="1" customHeight="1" x14ac:dyDescent="0.3">
      <c r="P164" s="21">
        <v>150</v>
      </c>
      <c r="Q16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4" s="88" t="s">
        <v>58</v>
      </c>
      <c r="S164" s="88"/>
      <c r="T164" s="88"/>
      <c r="U164" s="102" t="s">
        <v>73</v>
      </c>
    </row>
    <row r="165" spans="16:21" ht="27.1" hidden="1" customHeight="1" x14ac:dyDescent="0.3">
      <c r="P165" s="21">
        <v>151</v>
      </c>
      <c r="Q16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5" s="88" t="s">
        <v>58</v>
      </c>
      <c r="S165" s="88"/>
      <c r="T165" s="88"/>
      <c r="U165" s="102" t="s">
        <v>17</v>
      </c>
    </row>
    <row r="166" spans="16:21" ht="27.1" hidden="1" customHeight="1" x14ac:dyDescent="0.3">
      <c r="P166" s="21">
        <v>152</v>
      </c>
      <c r="Q16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6" s="88" t="s">
        <v>58</v>
      </c>
      <c r="S166" s="88"/>
      <c r="T166" s="88"/>
      <c r="U166" s="102" t="s">
        <v>17</v>
      </c>
    </row>
    <row r="167" spans="16:21" ht="27.1" hidden="1" customHeight="1" x14ac:dyDescent="0.3">
      <c r="P167" s="21">
        <v>153</v>
      </c>
      <c r="Q16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7" s="88" t="s">
        <v>58</v>
      </c>
      <c r="S167" s="88"/>
      <c r="T167" s="88"/>
      <c r="U167" s="102" t="s">
        <v>13</v>
      </c>
    </row>
    <row r="168" spans="16:21" ht="27.1" hidden="1" customHeight="1" x14ac:dyDescent="0.3">
      <c r="P168" s="21">
        <v>154</v>
      </c>
      <c r="Q16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8" s="88" t="s">
        <v>58</v>
      </c>
      <c r="S168" s="88"/>
      <c r="T168" s="88"/>
      <c r="U168" s="102" t="s">
        <v>13</v>
      </c>
    </row>
    <row r="169" spans="16:21" ht="27.1" hidden="1" customHeight="1" x14ac:dyDescent="0.3">
      <c r="P169" s="21">
        <v>155</v>
      </c>
      <c r="Q16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69" s="88" t="s">
        <v>58</v>
      </c>
      <c r="S169" s="88"/>
      <c r="T169" s="88"/>
      <c r="U169" s="102" t="s">
        <v>15</v>
      </c>
    </row>
    <row r="170" spans="16:21" ht="27.1" hidden="1" customHeight="1" x14ac:dyDescent="0.3">
      <c r="P170" s="21">
        <v>156</v>
      </c>
      <c r="Q17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0" s="88" t="s">
        <v>58</v>
      </c>
      <c r="S170" s="88"/>
      <c r="T170" s="88"/>
      <c r="U170" s="102" t="s">
        <v>15</v>
      </c>
    </row>
    <row r="171" spans="16:21" ht="27.1" hidden="1" customHeight="1" x14ac:dyDescent="0.3">
      <c r="P171" s="21">
        <v>157</v>
      </c>
      <c r="Q17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1" s="88" t="s">
        <v>58</v>
      </c>
      <c r="S171" s="88"/>
      <c r="T171" s="88"/>
      <c r="U171" s="102" t="s">
        <v>16</v>
      </c>
    </row>
    <row r="172" spans="16:21" ht="27.1" hidden="1" customHeight="1" x14ac:dyDescent="0.3">
      <c r="P172" s="21">
        <v>158</v>
      </c>
      <c r="Q17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2" s="88" t="s">
        <v>58</v>
      </c>
      <c r="S172" s="88"/>
      <c r="T172" s="88"/>
      <c r="U172" s="102" t="s">
        <v>16</v>
      </c>
    </row>
    <row r="173" spans="16:21" ht="27.1" hidden="1" customHeight="1" x14ac:dyDescent="0.3">
      <c r="P173" s="21">
        <v>159</v>
      </c>
      <c r="Q17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3" s="88" t="s">
        <v>58</v>
      </c>
      <c r="S173" s="88"/>
      <c r="T173" s="88"/>
      <c r="U173" s="102" t="s">
        <v>74</v>
      </c>
    </row>
    <row r="174" spans="16:21" ht="27.1" hidden="1" customHeight="1" x14ac:dyDescent="0.3">
      <c r="P174" s="21">
        <v>160</v>
      </c>
      <c r="Q17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4" s="88" t="s">
        <v>58</v>
      </c>
      <c r="S174" s="88"/>
      <c r="T174" s="88"/>
      <c r="U174" s="102" t="s">
        <v>74</v>
      </c>
    </row>
    <row r="175" spans="16:21" ht="27.1" hidden="1" customHeight="1" x14ac:dyDescent="0.3">
      <c r="P175" s="21">
        <v>161</v>
      </c>
      <c r="Q17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75" s="88" t="s">
        <v>58</v>
      </c>
      <c r="S175" s="88">
        <v>2</v>
      </c>
      <c r="T175" s="88">
        <v>1</v>
      </c>
      <c r="U175" s="102" t="s">
        <v>55</v>
      </c>
    </row>
    <row r="176" spans="16:21" ht="27.1" hidden="1" customHeight="1" thickBot="1" x14ac:dyDescent="0.35">
      <c r="P176" s="23">
        <v>162</v>
      </c>
      <c r="Q176" s="93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176" s="93" t="s">
        <v>58</v>
      </c>
      <c r="S176" s="93">
        <v>1</v>
      </c>
      <c r="T176" s="93">
        <v>1</v>
      </c>
      <c r="U176" s="103" t="s">
        <v>55</v>
      </c>
    </row>
    <row r="177" spans="16:21" ht="27.1" hidden="1" customHeight="1" x14ac:dyDescent="0.3">
      <c r="P177" s="12">
        <v>163</v>
      </c>
      <c r="Q177" s="86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77" s="86" t="s">
        <v>55</v>
      </c>
      <c r="S177" s="86">
        <v>1</v>
      </c>
      <c r="T177" s="86">
        <v>3</v>
      </c>
      <c r="U177" s="87" t="s">
        <v>14</v>
      </c>
    </row>
    <row r="178" spans="16:21" ht="27.1" hidden="1" customHeight="1" x14ac:dyDescent="0.3">
      <c r="P178" s="14">
        <v>164</v>
      </c>
      <c r="Q17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78" s="88" t="s">
        <v>55</v>
      </c>
      <c r="S178" s="88">
        <v>2</v>
      </c>
      <c r="T178" s="88">
        <v>7</v>
      </c>
      <c r="U178" s="89" t="s">
        <v>14</v>
      </c>
    </row>
    <row r="179" spans="16:21" ht="27.1" hidden="1" customHeight="1" x14ac:dyDescent="0.3">
      <c r="P179" s="14">
        <v>165</v>
      </c>
      <c r="Q17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79" s="88" t="s">
        <v>55</v>
      </c>
      <c r="S179" s="88"/>
      <c r="T179" s="88"/>
      <c r="U179" s="89" t="s">
        <v>54</v>
      </c>
    </row>
    <row r="180" spans="16:21" ht="27.1" hidden="1" customHeight="1" x14ac:dyDescent="0.3">
      <c r="P180" s="14">
        <v>166</v>
      </c>
      <c r="Q18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0" s="88" t="s">
        <v>55</v>
      </c>
      <c r="S180" s="88"/>
      <c r="T180" s="88"/>
      <c r="U180" s="89" t="s">
        <v>54</v>
      </c>
    </row>
    <row r="181" spans="16:21" ht="27.1" hidden="1" customHeight="1" x14ac:dyDescent="0.3">
      <c r="P181" s="14">
        <v>167</v>
      </c>
      <c r="Q18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1" s="88" t="s">
        <v>55</v>
      </c>
      <c r="S181" s="88"/>
      <c r="T181" s="88"/>
      <c r="U181" s="89" t="s">
        <v>73</v>
      </c>
    </row>
    <row r="182" spans="16:21" ht="27.1" hidden="1" customHeight="1" x14ac:dyDescent="0.3">
      <c r="P182" s="14">
        <v>168</v>
      </c>
      <c r="Q18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2" s="88" t="s">
        <v>55</v>
      </c>
      <c r="S182" s="88"/>
      <c r="T182" s="88"/>
      <c r="U182" s="89" t="s">
        <v>73</v>
      </c>
    </row>
    <row r="183" spans="16:21" ht="27.1" hidden="1" customHeight="1" x14ac:dyDescent="0.3">
      <c r="P183" s="14">
        <v>169</v>
      </c>
      <c r="Q18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83" s="88" t="s">
        <v>55</v>
      </c>
      <c r="S183" s="88">
        <v>0</v>
      </c>
      <c r="T183" s="88">
        <v>2</v>
      </c>
      <c r="U183" s="89" t="s">
        <v>17</v>
      </c>
    </row>
    <row r="184" spans="16:21" ht="27.1" hidden="1" customHeight="1" x14ac:dyDescent="0.3">
      <c r="P184" s="14">
        <v>170</v>
      </c>
      <c r="Q18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84" s="88" t="s">
        <v>55</v>
      </c>
      <c r="S184" s="88">
        <v>1</v>
      </c>
      <c r="T184" s="88">
        <v>3</v>
      </c>
      <c r="U184" s="89" t="s">
        <v>17</v>
      </c>
    </row>
    <row r="185" spans="16:21" ht="27.1" hidden="1" customHeight="1" x14ac:dyDescent="0.3">
      <c r="P185" s="14">
        <v>171</v>
      </c>
      <c r="Q185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85" s="88" t="s">
        <v>55</v>
      </c>
      <c r="S185" s="88">
        <v>3</v>
      </c>
      <c r="T185" s="88">
        <v>5</v>
      </c>
      <c r="U185" s="89" t="s">
        <v>13</v>
      </c>
    </row>
    <row r="186" spans="16:21" ht="27.1" hidden="1" customHeight="1" x14ac:dyDescent="0.3">
      <c r="P186" s="14">
        <v>172</v>
      </c>
      <c r="Q186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86" s="88" t="s">
        <v>55</v>
      </c>
      <c r="S186" s="88">
        <v>0</v>
      </c>
      <c r="T186" s="88">
        <v>8</v>
      </c>
      <c r="U186" s="89" t="s">
        <v>13</v>
      </c>
    </row>
    <row r="187" spans="16:21" ht="27.1" hidden="1" customHeight="1" x14ac:dyDescent="0.3">
      <c r="P187" s="14">
        <v>173</v>
      </c>
      <c r="Q187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7" s="88" t="s">
        <v>55</v>
      </c>
      <c r="S187" s="88"/>
      <c r="T187" s="88"/>
      <c r="U187" s="89" t="s">
        <v>15</v>
      </c>
    </row>
    <row r="188" spans="16:21" ht="27.1" hidden="1" customHeight="1" x14ac:dyDescent="0.3">
      <c r="P188" s="14">
        <v>174</v>
      </c>
      <c r="Q188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8" s="88" t="s">
        <v>55</v>
      </c>
      <c r="S188" s="88"/>
      <c r="T188" s="88"/>
      <c r="U188" s="89" t="s">
        <v>15</v>
      </c>
    </row>
    <row r="189" spans="16:21" ht="27.1" hidden="1" customHeight="1" x14ac:dyDescent="0.3">
      <c r="P189" s="14">
        <v>175</v>
      </c>
      <c r="Q189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89" s="88" t="s">
        <v>55</v>
      </c>
      <c r="S189" s="88"/>
      <c r="T189" s="88"/>
      <c r="U189" s="89" t="s">
        <v>16</v>
      </c>
    </row>
    <row r="190" spans="16:21" ht="27.1" hidden="1" customHeight="1" x14ac:dyDescent="0.3">
      <c r="P190" s="14">
        <v>176</v>
      </c>
      <c r="Q190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90" s="88" t="s">
        <v>55</v>
      </c>
      <c r="S190" s="88"/>
      <c r="T190" s="88"/>
      <c r="U190" s="89" t="s">
        <v>16</v>
      </c>
    </row>
    <row r="191" spans="16:21" ht="27.1" hidden="1" customHeight="1" x14ac:dyDescent="0.3">
      <c r="P191" s="14">
        <v>177</v>
      </c>
      <c r="Q191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91" s="88" t="s">
        <v>55</v>
      </c>
      <c r="S191" s="88"/>
      <c r="T191" s="88"/>
      <c r="U191" s="89" t="s">
        <v>74</v>
      </c>
    </row>
    <row r="192" spans="16:21" ht="27.1" hidden="1" customHeight="1" x14ac:dyDescent="0.3">
      <c r="P192" s="14">
        <v>178</v>
      </c>
      <c r="Q192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92" s="88" t="s">
        <v>55</v>
      </c>
      <c r="S192" s="88"/>
      <c r="T192" s="88"/>
      <c r="U192" s="89" t="s">
        <v>74</v>
      </c>
    </row>
    <row r="193" spans="16:21" ht="27.1" hidden="1" customHeight="1" x14ac:dyDescent="0.3">
      <c r="P193" s="14">
        <v>179</v>
      </c>
      <c r="Q193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93" s="88" t="s">
        <v>55</v>
      </c>
      <c r="S193" s="88">
        <v>1</v>
      </c>
      <c r="T193" s="88">
        <v>2</v>
      </c>
      <c r="U193" s="89" t="s">
        <v>58</v>
      </c>
    </row>
    <row r="194" spans="16:21" ht="27.1" hidden="1" customHeight="1" x14ac:dyDescent="0.3">
      <c r="P194" s="14">
        <v>180</v>
      </c>
      <c r="Q194" s="88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194" s="88" t="s">
        <v>55</v>
      </c>
      <c r="S194" s="88">
        <v>1</v>
      </c>
      <c r="T194" s="88">
        <v>1</v>
      </c>
      <c r="U194" s="89" t="s">
        <v>58</v>
      </c>
    </row>
    <row r="195" spans="16:21" ht="27.1" customHeight="1" x14ac:dyDescent="0.3"/>
    <row r="196" spans="16:21" ht="27.1" customHeight="1" x14ac:dyDescent="0.3"/>
    <row r="197" spans="16:21" ht="27.1" customHeight="1" x14ac:dyDescent="0.3"/>
    <row r="198" spans="16:21" ht="27.1" customHeight="1" x14ac:dyDescent="0.3"/>
    <row r="199" spans="16:21" ht="27.1" customHeight="1" x14ac:dyDescent="0.3"/>
    <row r="200" spans="16:21" ht="27.1" customHeight="1" x14ac:dyDescent="0.3"/>
    <row r="201" spans="16:21" ht="27.1" customHeight="1" x14ac:dyDescent="0.3"/>
    <row r="202" spans="16:21" ht="27.1" customHeight="1" x14ac:dyDescent="0.3"/>
    <row r="203" spans="16:21" ht="27.1" customHeight="1" x14ac:dyDescent="0.3"/>
    <row r="204" spans="16:21" ht="27.1" customHeight="1" x14ac:dyDescent="0.3"/>
    <row r="205" spans="16:21" ht="27.1" customHeight="1" x14ac:dyDescent="0.3"/>
    <row r="206" spans="16:21" ht="27.1" customHeight="1" x14ac:dyDescent="0.3"/>
    <row r="207" spans="16:21" ht="27.1" customHeight="1" x14ac:dyDescent="0.3"/>
    <row r="208" spans="16:21" ht="27.1" customHeight="1" x14ac:dyDescent="0.3"/>
    <row r="209" ht="27.1" customHeight="1" x14ac:dyDescent="0.3"/>
    <row r="210" ht="27.1" customHeight="1" x14ac:dyDescent="0.3"/>
    <row r="211" ht="27.1" customHeight="1" x14ac:dyDescent="0.3"/>
    <row r="212" ht="27.1" customHeight="1" x14ac:dyDescent="0.3"/>
    <row r="213" ht="27.1" customHeight="1" x14ac:dyDescent="0.3"/>
    <row r="214" ht="27.1" customHeight="1" x14ac:dyDescent="0.3"/>
    <row r="215" ht="27.1" customHeight="1" x14ac:dyDescent="0.3"/>
    <row r="216" ht="27.1" customHeight="1" x14ac:dyDescent="0.3"/>
    <row r="217" ht="27.1" customHeight="1" x14ac:dyDescent="0.3"/>
    <row r="218" ht="27.1" customHeight="1" x14ac:dyDescent="0.3"/>
    <row r="219" ht="27.1" customHeight="1" x14ac:dyDescent="0.3"/>
    <row r="220" ht="27.1" customHeight="1" x14ac:dyDescent="0.3"/>
    <row r="221" ht="27.1" customHeight="1" x14ac:dyDescent="0.3"/>
    <row r="222" ht="27.1" customHeight="1" x14ac:dyDescent="0.3"/>
    <row r="223" ht="27.1" customHeight="1" x14ac:dyDescent="0.3"/>
    <row r="224" ht="27.1" customHeight="1" x14ac:dyDescent="0.3"/>
    <row r="225" ht="27.1" customHeight="1" x14ac:dyDescent="0.3"/>
    <row r="226" ht="27.1" customHeight="1" x14ac:dyDescent="0.3"/>
    <row r="227" ht="27.1" customHeight="1" x14ac:dyDescent="0.3"/>
    <row r="228" ht="27.1" customHeight="1" x14ac:dyDescent="0.3"/>
    <row r="229" ht="27.1" customHeight="1" x14ac:dyDescent="0.3"/>
    <row r="230" ht="27.1" customHeight="1" x14ac:dyDescent="0.3"/>
    <row r="231" ht="27.1" customHeight="1" x14ac:dyDescent="0.3"/>
    <row r="232" ht="27.1" customHeight="1" x14ac:dyDescent="0.3"/>
    <row r="233" ht="27.1" customHeight="1" x14ac:dyDescent="0.3"/>
    <row r="234" ht="27.1" customHeight="1" x14ac:dyDescent="0.3"/>
  </sheetData>
  <phoneticPr fontId="10" type="noConversion"/>
  <conditionalFormatting sqref="N3:N12">
    <cfRule type="cellIs" dxfId="3" priority="2" operator="greaterThan">
      <formula>$N$3</formula>
    </cfRule>
  </conditionalFormatting>
  <conditionalFormatting sqref="Q15:Q194">
    <cfRule type="cellIs" dxfId="2" priority="3" operator="equal">
      <formula>"미진행"</formula>
    </cfRule>
  </conditionalFormatting>
  <conditionalFormatting sqref="U14">
    <cfRule type="cellIs" dxfId="1" priority="4" operator="equal">
      <formula>"파리"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386-0C13-47A5-8323-782976708D5C}">
  <dimension ref="A2:U218"/>
  <sheetViews>
    <sheetView zoomScale="130" zoomScaleNormal="130" workbookViewId="0">
      <selection activeCell="D24" sqref="D24"/>
    </sheetView>
  </sheetViews>
  <sheetFormatPr defaultRowHeight="15.7" x14ac:dyDescent="0.3"/>
  <cols>
    <col min="1" max="3" width="10" customWidth="1"/>
    <col min="4" max="4" width="9" style="1"/>
    <col min="5" max="6" width="5.5" style="1" customWidth="1"/>
    <col min="7" max="7" width="9" style="1"/>
    <col min="9" max="12" width="9" customWidth="1"/>
    <col min="13" max="13" width="15.125" bestFit="1" customWidth="1"/>
    <col min="14" max="17" width="9" customWidth="1"/>
  </cols>
  <sheetData>
    <row r="2" spans="1:21" hidden="1" x14ac:dyDescent="0.3">
      <c r="A2" s="1"/>
      <c r="B2" s="1"/>
      <c r="L2" s="1" t="s">
        <v>4</v>
      </c>
      <c r="M2" s="1" t="s">
        <v>2</v>
      </c>
      <c r="N2" s="1" t="s">
        <v>10</v>
      </c>
    </row>
    <row r="3" spans="1:21" x14ac:dyDescent="0.3">
      <c r="A3" s="1"/>
      <c r="C3" s="1" t="s">
        <v>34</v>
      </c>
      <c r="D3" s="1" t="s">
        <v>31</v>
      </c>
      <c r="E3" s="1" t="s">
        <v>32</v>
      </c>
      <c r="F3" s="1" t="s">
        <v>3</v>
      </c>
      <c r="G3" s="1" t="s">
        <v>1</v>
      </c>
      <c r="H3" s="1" t="s">
        <v>9</v>
      </c>
      <c r="I3" s="1" t="s">
        <v>25</v>
      </c>
      <c r="J3" s="1" t="s">
        <v>27</v>
      </c>
      <c r="K3" s="1" t="s">
        <v>29</v>
      </c>
      <c r="M3" s="1" t="s">
        <v>34</v>
      </c>
      <c r="N3" s="1" t="s">
        <v>31</v>
      </c>
      <c r="O3" s="1" t="s">
        <v>32</v>
      </c>
      <c r="P3" s="1" t="s">
        <v>3</v>
      </c>
      <c r="Q3" s="1" t="s">
        <v>1</v>
      </c>
      <c r="R3" s="1" t="s">
        <v>9</v>
      </c>
      <c r="S3" s="1" t="s">
        <v>25</v>
      </c>
      <c r="T3" s="1" t="s">
        <v>27</v>
      </c>
      <c r="U3" s="1" t="s">
        <v>29</v>
      </c>
    </row>
    <row r="4" spans="1:21" x14ac:dyDescent="0.3">
      <c r="A4" s="1"/>
      <c r="C4" s="1" t="s">
        <v>73</v>
      </c>
      <c r="D4" s="1">
        <f>표1부리그[[#This Row],[승]]*3+표1부리그[[#This Row],[무]]</f>
        <v>21</v>
      </c>
      <c r="E4" s="1">
        <f>표1부리그[[#This Row],[승]]+표1부리그[[#This Row],[무]]+표1부리그[[#This Row],[패]]</f>
        <v>10</v>
      </c>
      <c r="F4" s="1">
        <f>COUNTIFS(표1부리그경기결과[팀],표1부리그[[#This Row],[팀]],표1부리그경기결과[결과],$L$2)</f>
        <v>7</v>
      </c>
      <c r="G4" s="1">
        <f>COUNTIFS(표1부리그경기결과[팀],표1부리그[[#This Row],[팀]],표1부리그경기결과[결과],$M$2)</f>
        <v>0</v>
      </c>
      <c r="H4" s="1">
        <f>COUNTIFS(표1부리그경기결과[팀],표1부리그[[#This Row],[팀]],표1부리그경기결과[결과],$N$2)</f>
        <v>3</v>
      </c>
      <c r="I4" s="1">
        <f>SUMIFS(표1부리그경기결과[득점],표1부리그경기결과[팀],표1부리그[[#This Row],[팀]])</f>
        <v>31</v>
      </c>
      <c r="J4" s="1">
        <f>SUMIFS(표1부리그경기결과[실점],표1부리그경기결과[팀],표1부리그[[#This Row],[팀]])</f>
        <v>26</v>
      </c>
      <c r="K4" s="1">
        <f>표1부리그[[#This Row],[득점]]-표1부리그[[#This Row],[실점]]</f>
        <v>5</v>
      </c>
      <c r="M4" s="1" t="s">
        <v>14</v>
      </c>
      <c r="N4" s="1">
        <f>표2부리그[[#This Row],[승]]*3+표2부리그[[#This Row],[무]]</f>
        <v>28</v>
      </c>
      <c r="O4" s="1">
        <f>표2부리그[[#This Row],[승]]+표2부리그[[#This Row],[무]]+표2부리그[[#This Row],[패]]</f>
        <v>12</v>
      </c>
      <c r="P4" s="1">
        <f>COUNTIFS(표100[팀],표2부리그[[#This Row],[팀]],표100[결과],$L$2)</f>
        <v>9</v>
      </c>
      <c r="Q4" s="1">
        <f>COUNTIFS(표100[팀],표2부리그[[#This Row],[팀]],표100[결과],$M$2)</f>
        <v>1</v>
      </c>
      <c r="R4" s="1">
        <f>COUNTIFS(표100[팀],표2부리그[[#This Row],[팀]],표100[결과],$N$2)</f>
        <v>2</v>
      </c>
      <c r="S4" s="1">
        <f>SUMIFS(표100[득점],표100[팀],표2부리그[[#This Row],[팀]])</f>
        <v>34</v>
      </c>
      <c r="T4" s="1">
        <f>SUMIFS(표100[실점],표100[팀],표2부리그[[#This Row],[팀]])</f>
        <v>15</v>
      </c>
      <c r="U4" s="1">
        <f>표2부리그[[#This Row],[득점]]-표2부리그[[#This Row],[실점]]</f>
        <v>19</v>
      </c>
    </row>
    <row r="5" spans="1:21" x14ac:dyDescent="0.3">
      <c r="A5" s="1"/>
      <c r="C5" s="1" t="s">
        <v>47</v>
      </c>
      <c r="D5" s="1">
        <f>표1부리그[[#This Row],[승]]*3+표1부리그[[#This Row],[무]]</f>
        <v>3</v>
      </c>
      <c r="E5" s="1">
        <f>표1부리그[[#This Row],[승]]+표1부리그[[#This Row],[무]]+표1부리그[[#This Row],[패]]</f>
        <v>8</v>
      </c>
      <c r="F5" s="1">
        <f>COUNTIFS(표1부리그경기결과[팀],표1부리그[[#This Row],[팀]],표1부리그경기결과[결과],$L$2)</f>
        <v>1</v>
      </c>
      <c r="G5" s="1">
        <f>COUNTIFS(표1부리그경기결과[팀],표1부리그[[#This Row],[팀]],표1부리그경기결과[결과],$M$2)</f>
        <v>0</v>
      </c>
      <c r="H5" s="1">
        <f>COUNTIFS(표1부리그경기결과[팀],표1부리그[[#This Row],[팀]],표1부리그경기결과[결과],$N$2)</f>
        <v>7</v>
      </c>
      <c r="I5" s="1">
        <f>SUMIFS(표1부리그경기결과[득점],표1부리그경기결과[팀],표1부리그[[#This Row],[팀]])</f>
        <v>14</v>
      </c>
      <c r="J5" s="1">
        <f>SUMIFS(표1부리그경기결과[실점],표1부리그경기결과[팀],표1부리그[[#This Row],[팀]])</f>
        <v>23</v>
      </c>
      <c r="K5" s="1">
        <f>표1부리그[[#This Row],[득점]]-표1부리그[[#This Row],[실점]]</f>
        <v>-9</v>
      </c>
      <c r="M5" s="1" t="s">
        <v>54</v>
      </c>
      <c r="N5" s="1">
        <f>표2부리그[[#This Row],[승]]*3+표2부리그[[#This Row],[무]]</f>
        <v>0</v>
      </c>
      <c r="O5" s="1">
        <f>표2부리그[[#This Row],[승]]+표2부리그[[#This Row],[무]]+표2부리그[[#This Row],[패]]</f>
        <v>0</v>
      </c>
      <c r="P5" s="1">
        <f>COUNTIFS(표100[팀],표2부리그[[#This Row],[팀]],표100[결과],$L$2)</f>
        <v>0</v>
      </c>
      <c r="Q5" s="1">
        <f>COUNTIFS(표100[팀],표2부리그[[#This Row],[팀]],표100[결과],$M$2)</f>
        <v>0</v>
      </c>
      <c r="R5" s="1">
        <f>COUNTIFS(표100[팀],표2부리그[[#This Row],[팀]],표100[결과],$N$2)</f>
        <v>0</v>
      </c>
      <c r="S5" s="1">
        <f>SUMIFS(표100[득점],표100[팀],표2부리그[[#This Row],[팀]])</f>
        <v>0</v>
      </c>
      <c r="T5" s="1">
        <f>SUMIFS(표100[실점],표100[팀],표2부리그[[#This Row],[팀]])</f>
        <v>0</v>
      </c>
      <c r="U5" s="1">
        <f>표2부리그[[#This Row],[득점]]-표2부리그[[#This Row],[실점]]</f>
        <v>0</v>
      </c>
    </row>
    <row r="6" spans="1:21" x14ac:dyDescent="0.3">
      <c r="A6" s="1"/>
      <c r="C6" s="1" t="s">
        <v>48</v>
      </c>
      <c r="D6" s="1">
        <f>표1부리그[[#This Row],[승]]*3+표1부리그[[#This Row],[무]]</f>
        <v>12</v>
      </c>
      <c r="E6" s="1">
        <f>표1부리그[[#This Row],[승]]+표1부리그[[#This Row],[무]]+표1부리그[[#This Row],[패]]</f>
        <v>8</v>
      </c>
      <c r="F6" s="1">
        <f>COUNTIFS(표1부리그경기결과[팀],표1부리그[[#This Row],[팀]],표1부리그경기결과[결과],$L$2)</f>
        <v>3</v>
      </c>
      <c r="G6" s="1">
        <f>COUNTIFS(표1부리그경기결과[팀],표1부리그[[#This Row],[팀]],표1부리그경기결과[결과],$M$2)</f>
        <v>3</v>
      </c>
      <c r="H6" s="1">
        <f>COUNTIFS(표1부리그경기결과[팀],표1부리그[[#This Row],[팀]],표1부리그경기결과[결과],$N$2)</f>
        <v>2</v>
      </c>
      <c r="I6" s="1">
        <f>SUMIFS(표1부리그경기결과[득점],표1부리그경기결과[팀],표1부리그[[#This Row],[팀]])</f>
        <v>17</v>
      </c>
      <c r="J6" s="1">
        <f>SUMIFS(표1부리그경기결과[실점],표1부리그경기결과[팀],표1부리그[[#This Row],[팀]])</f>
        <v>15</v>
      </c>
      <c r="K6" s="1">
        <f>표1부리그[[#This Row],[득점]]-표1부리그[[#This Row],[실점]]</f>
        <v>2</v>
      </c>
      <c r="M6" s="1" t="s">
        <v>73</v>
      </c>
      <c r="N6" s="1">
        <f>표2부리그[[#This Row],[승]]*3+표2부리그[[#This Row],[무]]</f>
        <v>0</v>
      </c>
      <c r="O6" s="1">
        <f>표2부리그[[#This Row],[승]]+표2부리그[[#This Row],[무]]+표2부리그[[#This Row],[패]]</f>
        <v>0</v>
      </c>
      <c r="P6" s="1">
        <f>COUNTIFS(표100[팀],표2부리그[[#This Row],[팀]],표100[결과],$L$2)</f>
        <v>0</v>
      </c>
      <c r="Q6" s="1">
        <f>COUNTIFS(표100[팀],표2부리그[[#This Row],[팀]],표100[결과],$M$2)</f>
        <v>0</v>
      </c>
      <c r="R6" s="1">
        <f>COUNTIFS(표100[팀],표2부리그[[#This Row],[팀]],표100[결과],$N$2)</f>
        <v>0</v>
      </c>
      <c r="S6" s="1">
        <f>SUMIFS(표100[득점],표100[팀],표2부리그[[#This Row],[팀]])</f>
        <v>0</v>
      </c>
      <c r="T6" s="1">
        <f>SUMIFS(표100[실점],표100[팀],표2부리그[[#This Row],[팀]])</f>
        <v>0</v>
      </c>
      <c r="U6" s="1">
        <f>표2부리그[[#This Row],[득점]]-표2부리그[[#This Row],[실점]]</f>
        <v>0</v>
      </c>
    </row>
    <row r="7" spans="1:21" x14ac:dyDescent="0.3">
      <c r="A7" s="1"/>
      <c r="C7" s="1" t="s">
        <v>11</v>
      </c>
      <c r="D7" s="1">
        <f>표1부리그[[#This Row],[승]]*3+표1부리그[[#This Row],[무]]</f>
        <v>12</v>
      </c>
      <c r="E7" s="1">
        <f>표1부리그[[#This Row],[승]]+표1부리그[[#This Row],[무]]+표1부리그[[#This Row],[패]]</f>
        <v>10</v>
      </c>
      <c r="F7" s="1">
        <f>COUNTIFS(표1부리그경기결과[팀],표1부리그[[#This Row],[팀]],표1부리그경기결과[결과],$L$2)</f>
        <v>3</v>
      </c>
      <c r="G7" s="1">
        <f>COUNTIFS(표1부리그경기결과[팀],표1부리그[[#This Row],[팀]],표1부리그경기결과[결과],$M$2)</f>
        <v>3</v>
      </c>
      <c r="H7" s="1">
        <f>COUNTIFS(표1부리그경기결과[팀],표1부리그[[#This Row],[팀]],표1부리그경기결과[결과],$N$2)</f>
        <v>4</v>
      </c>
      <c r="I7" s="1">
        <f>SUMIFS(표1부리그경기결과[득점],표1부리그경기결과[팀],표1부리그[[#This Row],[팀]])</f>
        <v>18</v>
      </c>
      <c r="J7" s="1">
        <f>SUMIFS(표1부리그경기결과[실점],표1부리그경기결과[팀],표1부리그[[#This Row],[팀]])</f>
        <v>20</v>
      </c>
      <c r="K7" s="1">
        <f>표1부리그[[#This Row],[득점]]-표1부리그[[#This Row],[실점]]</f>
        <v>-2</v>
      </c>
      <c r="M7" s="1" t="s">
        <v>17</v>
      </c>
      <c r="N7" s="1">
        <f>표2부리그[[#This Row],[승]]*3+표2부리그[[#This Row],[무]]</f>
        <v>15</v>
      </c>
      <c r="O7" s="1">
        <f>표2부리그[[#This Row],[승]]+표2부리그[[#This Row],[무]]+표2부리그[[#This Row],[패]]</f>
        <v>8</v>
      </c>
      <c r="P7" s="1">
        <f>COUNTIFS(표100[팀],표2부리그[[#This Row],[팀]],표100[결과],$L$2)</f>
        <v>5</v>
      </c>
      <c r="Q7" s="1">
        <f>COUNTIFS(표100[팀],표2부리그[[#This Row],[팀]],표100[결과],$M$2)</f>
        <v>0</v>
      </c>
      <c r="R7" s="1">
        <f>COUNTIFS(표100[팀],표2부리그[[#This Row],[팀]],표100[결과],$N$2)</f>
        <v>3</v>
      </c>
      <c r="S7" s="1">
        <f>SUMIFS(표100[득점],표100[팀],표2부리그[[#This Row],[팀]])</f>
        <v>22</v>
      </c>
      <c r="T7" s="1">
        <f>SUMIFS(표100[실점],표100[팀],표2부리그[[#This Row],[팀]])</f>
        <v>10</v>
      </c>
      <c r="U7" s="1">
        <f>표2부리그[[#This Row],[득점]]-표2부리그[[#This Row],[실점]]</f>
        <v>12</v>
      </c>
    </row>
    <row r="8" spans="1:21" x14ac:dyDescent="0.3">
      <c r="A8" s="1"/>
      <c r="C8" s="1" t="s">
        <v>54</v>
      </c>
      <c r="D8" s="1">
        <f>표1부리그[[#This Row],[승]]*3+표1부리그[[#This Row],[무]]</f>
        <v>15</v>
      </c>
      <c r="E8" s="1">
        <f>표1부리그[[#This Row],[승]]+표1부리그[[#This Row],[무]]+표1부리그[[#This Row],[패]]</f>
        <v>8</v>
      </c>
      <c r="F8" s="1">
        <f>COUNTIFS(표1부리그경기결과[팀],표1부리그[[#This Row],[팀]],표1부리그경기결과[결과],$L$2)</f>
        <v>4</v>
      </c>
      <c r="G8" s="1">
        <f>COUNTIFS(표1부리그경기결과[팀],표1부리그[[#This Row],[팀]],표1부리그경기결과[결과],$M$2)</f>
        <v>3</v>
      </c>
      <c r="H8" s="1">
        <f>COUNTIFS(표1부리그경기결과[팀],표1부리그[[#This Row],[팀]],표1부리그경기결과[결과],$N$2)</f>
        <v>1</v>
      </c>
      <c r="I8" s="1">
        <f>SUMIFS(표1부리그경기결과[득점],표1부리그경기결과[팀],표1부리그[[#This Row],[팀]])</f>
        <v>20</v>
      </c>
      <c r="J8" s="1">
        <f>SUMIFS(표1부리그경기결과[실점],표1부리그경기결과[팀],표1부리그[[#This Row],[팀]])</f>
        <v>15</v>
      </c>
      <c r="K8" s="1">
        <f>표1부리그[[#This Row],[득점]]-표1부리그[[#This Row],[실점]]</f>
        <v>5</v>
      </c>
      <c r="M8" s="1" t="s">
        <v>13</v>
      </c>
      <c r="N8" s="1">
        <f>표2부리그[[#This Row],[승]]*3+표2부리그[[#This Row],[무]]</f>
        <v>12</v>
      </c>
      <c r="O8" s="1">
        <f>표2부리그[[#This Row],[승]]+표2부리그[[#This Row],[무]]+표2부리그[[#This Row],[패]]</f>
        <v>8</v>
      </c>
      <c r="P8" s="1">
        <f>COUNTIFS(표100[팀],표2부리그[[#This Row],[팀]],표100[결과],$L$2)</f>
        <v>4</v>
      </c>
      <c r="Q8" s="1">
        <f>COUNTIFS(표100[팀],표2부리그[[#This Row],[팀]],표100[결과],$M$2)</f>
        <v>0</v>
      </c>
      <c r="R8" s="1">
        <f>COUNTIFS(표100[팀],표2부리그[[#This Row],[팀]],표100[결과],$N$2)</f>
        <v>4</v>
      </c>
      <c r="S8" s="1">
        <f>SUMIFS(표100[득점],표100[팀],표2부리그[[#This Row],[팀]])</f>
        <v>25</v>
      </c>
      <c r="T8" s="1">
        <f>SUMIFS(표100[실점],표100[팀],표2부리그[[#This Row],[팀]])</f>
        <v>20</v>
      </c>
      <c r="U8" s="1">
        <f>표2부리그[[#This Row],[득점]]-표2부리그[[#This Row],[실점]]</f>
        <v>5</v>
      </c>
    </row>
    <row r="9" spans="1:21" x14ac:dyDescent="0.3">
      <c r="A9" s="1"/>
      <c r="C9" s="1" t="s">
        <v>12</v>
      </c>
      <c r="D9" s="1">
        <f>표1부리그[[#This Row],[승]]*3+표1부리그[[#This Row],[무]]</f>
        <v>4</v>
      </c>
      <c r="E9" s="1">
        <f>표1부리그[[#This Row],[승]]+표1부리그[[#This Row],[무]]+표1부리그[[#This Row],[패]]</f>
        <v>4</v>
      </c>
      <c r="F9" s="1">
        <f>COUNTIFS(표1부리그경기결과[팀],표1부리그[[#This Row],[팀]],표1부리그경기결과[결과],$L$2)</f>
        <v>1</v>
      </c>
      <c r="G9" s="1">
        <f>COUNTIFS(표1부리그경기결과[팀],표1부리그[[#This Row],[팀]],표1부리그경기결과[결과],$M$2)</f>
        <v>1</v>
      </c>
      <c r="H9" s="1">
        <f>COUNTIFS(표1부리그경기결과[팀],표1부리그[[#This Row],[팀]],표1부리그경기결과[결과],$N$2)</f>
        <v>2</v>
      </c>
      <c r="I9" s="1">
        <f>SUMIFS(표1부리그경기결과[득점],표1부리그경기결과[팀],표1부리그[[#This Row],[팀]])</f>
        <v>7</v>
      </c>
      <c r="J9" s="1">
        <f>SUMIFS(표1부리그경기결과[실점],표1부리그경기결과[팀],표1부리그[[#This Row],[팀]])</f>
        <v>8</v>
      </c>
      <c r="K9" s="1">
        <f>표1부리그[[#This Row],[득점]]-표1부리그[[#This Row],[실점]]</f>
        <v>-1</v>
      </c>
      <c r="M9" s="1" t="s">
        <v>15</v>
      </c>
      <c r="N9" s="1">
        <f>표2부리그[[#This Row],[승]]*3+표2부리그[[#This Row],[무]]</f>
        <v>0</v>
      </c>
      <c r="O9" s="1">
        <f>표2부리그[[#This Row],[승]]+표2부리그[[#This Row],[무]]+표2부리그[[#This Row],[패]]</f>
        <v>4</v>
      </c>
      <c r="P9" s="1">
        <f>COUNTIFS(표100[팀],표2부리그[[#This Row],[팀]],표100[결과],$L$2)</f>
        <v>0</v>
      </c>
      <c r="Q9" s="1">
        <f>COUNTIFS(표100[팀],표2부리그[[#This Row],[팀]],표100[결과],$M$2)</f>
        <v>0</v>
      </c>
      <c r="R9" s="1">
        <f>COUNTIFS(표100[팀],표2부리그[[#This Row],[팀]],표100[결과],$N$2)</f>
        <v>4</v>
      </c>
      <c r="S9" s="1">
        <f>SUMIFS(표100[득점],표100[팀],표2부리그[[#This Row],[팀]])</f>
        <v>5</v>
      </c>
      <c r="T9" s="1">
        <f>SUMIFS(표100[실점],표100[팀],표2부리그[[#This Row],[팀]])</f>
        <v>17</v>
      </c>
      <c r="U9" s="1">
        <f>표2부리그[[#This Row],[득점]]-표2부리그[[#This Row],[실점]]</f>
        <v>-12</v>
      </c>
    </row>
    <row r="10" spans="1:21" x14ac:dyDescent="0.3">
      <c r="A10" s="1"/>
      <c r="H10" s="85"/>
      <c r="M10" s="1" t="s">
        <v>16</v>
      </c>
      <c r="N10" s="1">
        <f>표2부리그[[#This Row],[승]]*3+표2부리그[[#This Row],[무]]</f>
        <v>6</v>
      </c>
      <c r="O10" s="1">
        <f>표2부리그[[#This Row],[승]]+표2부리그[[#This Row],[무]]+표2부리그[[#This Row],[패]]</f>
        <v>2</v>
      </c>
      <c r="P10" s="1">
        <f>COUNTIFS(표100[팀],표2부리그[[#This Row],[팀]],표100[결과],$L$2)</f>
        <v>2</v>
      </c>
      <c r="Q10" s="1">
        <f>COUNTIFS(표100[팀],표2부리그[[#This Row],[팀]],표100[결과],$M$2)</f>
        <v>0</v>
      </c>
      <c r="R10" s="1">
        <f>COUNTIFS(표100[팀],표2부리그[[#This Row],[팀]],표100[결과],$N$2)</f>
        <v>0</v>
      </c>
      <c r="S10" s="1">
        <f>SUMIFS(표100[득점],표100[팀],표2부리그[[#This Row],[팀]])</f>
        <v>9</v>
      </c>
      <c r="T10" s="1">
        <f>SUMIFS(표100[실점],표100[팀],표2부리그[[#This Row],[팀]])</f>
        <v>6</v>
      </c>
      <c r="U10" s="1">
        <f>표2부리그[[#This Row],[득점]]-표2부리그[[#This Row],[실점]]</f>
        <v>3</v>
      </c>
    </row>
    <row r="11" spans="1:21" x14ac:dyDescent="0.3">
      <c r="A11" s="1"/>
      <c r="H11" s="85"/>
      <c r="M11" s="1" t="s">
        <v>74</v>
      </c>
      <c r="N11" s="1">
        <f>표2부리그[[#This Row],[승]]*3+표2부리그[[#This Row],[무]]</f>
        <v>4</v>
      </c>
      <c r="O11" s="1">
        <f>표2부리그[[#This Row],[승]]+표2부리그[[#This Row],[무]]+표2부리그[[#This Row],[패]]</f>
        <v>2</v>
      </c>
      <c r="P11" s="1">
        <f>COUNTIFS(표100[팀],표2부리그[[#This Row],[팀]],표100[결과],$L$2)</f>
        <v>1</v>
      </c>
      <c r="Q11" s="1">
        <f>COUNTIFS(표100[팀],표2부리그[[#This Row],[팀]],표100[결과],$M$2)</f>
        <v>1</v>
      </c>
      <c r="R11" s="1">
        <f>COUNTIFS(표100[팀],표2부리그[[#This Row],[팀]],표100[결과],$N$2)</f>
        <v>0</v>
      </c>
      <c r="S11" s="1">
        <f>SUMIFS(표100[득점],표100[팀],표2부리그[[#This Row],[팀]])</f>
        <v>2</v>
      </c>
      <c r="T11" s="1">
        <f>SUMIFS(표100[실점],표100[팀],표2부리그[[#This Row],[팀]])</f>
        <v>1</v>
      </c>
      <c r="U11" s="1">
        <f>표2부리그[[#This Row],[득점]]-표2부리그[[#This Row],[실점]]</f>
        <v>1</v>
      </c>
    </row>
    <row r="12" spans="1:21" x14ac:dyDescent="0.3">
      <c r="A12" s="1"/>
      <c r="H12" s="85"/>
      <c r="M12" s="1" t="s">
        <v>58</v>
      </c>
      <c r="N12" s="1">
        <f>표2부리그[[#This Row],[승]]*3+표2부리그[[#This Row],[무]]</f>
        <v>4</v>
      </c>
      <c r="O12" s="1">
        <f>표2부리그[[#This Row],[승]]+표2부리그[[#This Row],[무]]+표2부리그[[#This Row],[패]]</f>
        <v>4</v>
      </c>
      <c r="P12" s="1">
        <f>COUNTIFS(표100[팀],표2부리그[[#This Row],[팀]],표100[결과],$L$2)</f>
        <v>1</v>
      </c>
      <c r="Q12" s="1">
        <f>COUNTIFS(표100[팀],표2부리그[[#This Row],[팀]],표100[결과],$M$2)</f>
        <v>1</v>
      </c>
      <c r="R12" s="1">
        <f>COUNTIFS(표100[팀],표2부리그[[#This Row],[팀]],표100[결과],$N$2)</f>
        <v>2</v>
      </c>
      <c r="S12" s="1">
        <f>SUMIFS(표100[득점],표100[팀],표2부리그[[#This Row],[팀]])</f>
        <v>4</v>
      </c>
      <c r="T12" s="1">
        <f>SUMIFS(표100[실점],표100[팀],표2부리그[[#This Row],[팀]])</f>
        <v>10</v>
      </c>
      <c r="U12" s="1">
        <f>표2부리그[[#This Row],[득점]]-표2부리그[[#This Row],[실점]]</f>
        <v>-6</v>
      </c>
    </row>
    <row r="13" spans="1:21" x14ac:dyDescent="0.3">
      <c r="H13" s="85"/>
      <c r="M13" s="1" t="s">
        <v>55</v>
      </c>
      <c r="N13" s="1">
        <f>표2부리그[[#This Row],[승]]*3+표2부리그[[#This Row],[무]]</f>
        <v>1</v>
      </c>
      <c r="O13" s="1">
        <f>표2부리그[[#This Row],[승]]+표2부리그[[#This Row],[무]]+표2부리그[[#This Row],[패]]</f>
        <v>8</v>
      </c>
      <c r="P13" s="1">
        <f>COUNTIFS(표100[팀],표2부리그[[#This Row],[팀]],표100[결과],$L$2)</f>
        <v>0</v>
      </c>
      <c r="Q13" s="1">
        <f>COUNTIFS(표100[팀],표2부리그[[#This Row],[팀]],표100[결과],$M$2)</f>
        <v>1</v>
      </c>
      <c r="R13" s="1">
        <f>COUNTIFS(표100[팀],표2부리그[[#This Row],[팀]],표100[결과],$N$2)</f>
        <v>7</v>
      </c>
      <c r="S13" s="1">
        <f>SUMIFS(표100[득점],표100[팀],표2부리그[[#This Row],[팀]])</f>
        <v>9</v>
      </c>
      <c r="T13" s="1">
        <f>SUMIFS(표100[실점],표100[팀],표2부리그[[#This Row],[팀]])</f>
        <v>31</v>
      </c>
      <c r="U13" s="1">
        <f>표2부리그[[#This Row],[득점]]-표2부리그[[#This Row],[실점]]</f>
        <v>-22</v>
      </c>
    </row>
    <row r="14" spans="1:21" x14ac:dyDescent="0.3">
      <c r="H14" s="85"/>
    </row>
    <row r="15" spans="1:21" x14ac:dyDescent="0.3">
      <c r="H15" s="85"/>
    </row>
    <row r="16" spans="1:21" x14ac:dyDescent="0.3">
      <c r="H16" s="85"/>
    </row>
    <row r="17" spans="8:8" x14ac:dyDescent="0.3">
      <c r="H17" s="85"/>
    </row>
    <row r="18" spans="8:8" x14ac:dyDescent="0.3">
      <c r="H18" s="85"/>
    </row>
    <row r="19" spans="8:8" x14ac:dyDescent="0.3">
      <c r="H19" s="85"/>
    </row>
    <row r="20" spans="8:8" x14ac:dyDescent="0.3">
      <c r="H20" s="85"/>
    </row>
    <row r="21" spans="8:8" x14ac:dyDescent="0.3">
      <c r="H21" s="85"/>
    </row>
    <row r="22" spans="8:8" x14ac:dyDescent="0.3">
      <c r="H22" s="85"/>
    </row>
    <row r="23" spans="8:8" x14ac:dyDescent="0.3">
      <c r="H23" s="85"/>
    </row>
    <row r="24" spans="8:8" x14ac:dyDescent="0.3">
      <c r="H24" s="85"/>
    </row>
    <row r="25" spans="8:8" x14ac:dyDescent="0.3">
      <c r="H25" s="85"/>
    </row>
    <row r="26" spans="8:8" x14ac:dyDescent="0.3">
      <c r="H26" s="85"/>
    </row>
    <row r="27" spans="8:8" x14ac:dyDescent="0.3">
      <c r="H27" s="85"/>
    </row>
    <row r="28" spans="8:8" x14ac:dyDescent="0.3">
      <c r="H28" s="85"/>
    </row>
    <row r="29" spans="8:8" x14ac:dyDescent="0.3">
      <c r="H29" s="85"/>
    </row>
    <row r="30" spans="8:8" x14ac:dyDescent="0.3">
      <c r="H30" s="85"/>
    </row>
    <row r="31" spans="8:8" x14ac:dyDescent="0.3">
      <c r="H31" s="85"/>
    </row>
    <row r="32" spans="8:8" x14ac:dyDescent="0.3">
      <c r="H32" s="85"/>
    </row>
    <row r="33" spans="8:8" x14ac:dyDescent="0.3">
      <c r="H33" s="85"/>
    </row>
    <row r="34" spans="8:8" x14ac:dyDescent="0.3">
      <c r="H34" s="85"/>
    </row>
    <row r="35" spans="8:8" x14ac:dyDescent="0.3">
      <c r="H35" s="85"/>
    </row>
    <row r="36" spans="8:8" x14ac:dyDescent="0.3">
      <c r="H36" s="85"/>
    </row>
    <row r="37" spans="8:8" x14ac:dyDescent="0.3">
      <c r="H37" s="85"/>
    </row>
    <row r="38" spans="8:8" x14ac:dyDescent="0.3">
      <c r="H38" s="85"/>
    </row>
    <row r="39" spans="8:8" x14ac:dyDescent="0.3">
      <c r="H39" s="85"/>
    </row>
    <row r="40" spans="8:8" x14ac:dyDescent="0.3">
      <c r="H40" s="85"/>
    </row>
    <row r="41" spans="8:8" x14ac:dyDescent="0.3">
      <c r="H41" s="85"/>
    </row>
    <row r="42" spans="8:8" x14ac:dyDescent="0.3">
      <c r="H42" s="85"/>
    </row>
    <row r="43" spans="8:8" x14ac:dyDescent="0.3">
      <c r="H43" s="85"/>
    </row>
    <row r="44" spans="8:8" x14ac:dyDescent="0.3">
      <c r="H44" s="85"/>
    </row>
    <row r="45" spans="8:8" x14ac:dyDescent="0.3">
      <c r="H45" s="85"/>
    </row>
    <row r="46" spans="8:8" x14ac:dyDescent="0.3">
      <c r="H46" s="85"/>
    </row>
    <row r="47" spans="8:8" x14ac:dyDescent="0.3">
      <c r="H47" s="85"/>
    </row>
    <row r="48" spans="8:8" x14ac:dyDescent="0.3">
      <c r="H48" s="85"/>
    </row>
    <row r="49" spans="8:8" x14ac:dyDescent="0.3">
      <c r="H49" s="85"/>
    </row>
    <row r="50" spans="8:8" x14ac:dyDescent="0.3">
      <c r="H50" s="85"/>
    </row>
    <row r="51" spans="8:8" x14ac:dyDescent="0.3">
      <c r="H51" s="85"/>
    </row>
    <row r="52" spans="8:8" x14ac:dyDescent="0.3">
      <c r="H52" s="85"/>
    </row>
    <row r="53" spans="8:8" x14ac:dyDescent="0.3">
      <c r="H53" s="85"/>
    </row>
    <row r="54" spans="8:8" x14ac:dyDescent="0.3">
      <c r="H54" s="85"/>
    </row>
    <row r="55" spans="8:8" x14ac:dyDescent="0.3">
      <c r="H55" s="85"/>
    </row>
    <row r="56" spans="8:8" x14ac:dyDescent="0.3">
      <c r="H56" s="85"/>
    </row>
    <row r="57" spans="8:8" x14ac:dyDescent="0.3">
      <c r="H57" s="85"/>
    </row>
    <row r="58" spans="8:8" x14ac:dyDescent="0.3">
      <c r="H58" s="85"/>
    </row>
    <row r="59" spans="8:8" x14ac:dyDescent="0.3">
      <c r="H59" s="85"/>
    </row>
    <row r="60" spans="8:8" x14ac:dyDescent="0.3">
      <c r="H60" s="85"/>
    </row>
    <row r="61" spans="8:8" x14ac:dyDescent="0.3">
      <c r="H61" s="85"/>
    </row>
    <row r="62" spans="8:8" x14ac:dyDescent="0.3">
      <c r="H62" s="85"/>
    </row>
    <row r="63" spans="8:8" x14ac:dyDescent="0.3">
      <c r="H63" s="85"/>
    </row>
    <row r="64" spans="8:8" x14ac:dyDescent="0.3">
      <c r="H64" s="85"/>
    </row>
    <row r="65" spans="8:8" x14ac:dyDescent="0.3">
      <c r="H65" s="85"/>
    </row>
    <row r="66" spans="8:8" x14ac:dyDescent="0.3">
      <c r="H66" s="85"/>
    </row>
    <row r="67" spans="8:8" x14ac:dyDescent="0.3">
      <c r="H67" s="85"/>
    </row>
    <row r="68" spans="8:8" x14ac:dyDescent="0.3">
      <c r="H68" s="85"/>
    </row>
    <row r="69" spans="8:8" x14ac:dyDescent="0.3">
      <c r="H69" s="85"/>
    </row>
    <row r="70" spans="8:8" x14ac:dyDescent="0.3">
      <c r="H70" s="85"/>
    </row>
    <row r="71" spans="8:8" x14ac:dyDescent="0.3">
      <c r="H71" s="85"/>
    </row>
    <row r="72" spans="8:8" x14ac:dyDescent="0.3">
      <c r="H72" s="85"/>
    </row>
    <row r="73" spans="8:8" x14ac:dyDescent="0.3">
      <c r="H73" s="85"/>
    </row>
    <row r="74" spans="8:8" x14ac:dyDescent="0.3">
      <c r="H74" s="85"/>
    </row>
    <row r="75" spans="8:8" x14ac:dyDescent="0.3">
      <c r="H75" s="85"/>
    </row>
    <row r="76" spans="8:8" x14ac:dyDescent="0.3">
      <c r="H76" s="85"/>
    </row>
    <row r="77" spans="8:8" x14ac:dyDescent="0.3">
      <c r="H77" s="85"/>
    </row>
    <row r="78" spans="8:8" x14ac:dyDescent="0.3">
      <c r="H78" s="85"/>
    </row>
    <row r="79" spans="8:8" x14ac:dyDescent="0.3">
      <c r="H79" s="85"/>
    </row>
    <row r="80" spans="8:8" x14ac:dyDescent="0.3">
      <c r="H80" s="85"/>
    </row>
    <row r="81" spans="8:8" x14ac:dyDescent="0.3">
      <c r="H81" s="85"/>
    </row>
    <row r="82" spans="8:8" x14ac:dyDescent="0.3">
      <c r="H82" s="85"/>
    </row>
    <row r="83" spans="8:8" x14ac:dyDescent="0.3">
      <c r="H83" s="85"/>
    </row>
    <row r="84" spans="8:8" x14ac:dyDescent="0.3">
      <c r="H84" s="85"/>
    </row>
    <row r="85" spans="8:8" x14ac:dyDescent="0.3">
      <c r="H85" s="85"/>
    </row>
    <row r="86" spans="8:8" x14ac:dyDescent="0.3">
      <c r="H86" s="85"/>
    </row>
    <row r="87" spans="8:8" x14ac:dyDescent="0.3">
      <c r="H87" s="85"/>
    </row>
    <row r="88" spans="8:8" x14ac:dyDescent="0.3">
      <c r="H88" s="85"/>
    </row>
    <row r="89" spans="8:8" x14ac:dyDescent="0.3">
      <c r="H89" s="85"/>
    </row>
    <row r="90" spans="8:8" x14ac:dyDescent="0.3">
      <c r="H90" s="85"/>
    </row>
    <row r="91" spans="8:8" x14ac:dyDescent="0.3">
      <c r="H91" s="85"/>
    </row>
    <row r="92" spans="8:8" x14ac:dyDescent="0.3">
      <c r="H92" s="85"/>
    </row>
    <row r="93" spans="8:8" x14ac:dyDescent="0.3">
      <c r="H93" s="85"/>
    </row>
    <row r="94" spans="8:8" x14ac:dyDescent="0.3">
      <c r="H94" s="85"/>
    </row>
    <row r="95" spans="8:8" x14ac:dyDescent="0.3">
      <c r="H95" s="85"/>
    </row>
    <row r="96" spans="8:8" x14ac:dyDescent="0.3">
      <c r="H96" s="85"/>
    </row>
    <row r="97" spans="8:8" x14ac:dyDescent="0.3">
      <c r="H97" s="85"/>
    </row>
    <row r="98" spans="8:8" x14ac:dyDescent="0.3">
      <c r="H98" s="85"/>
    </row>
    <row r="99" spans="8:8" x14ac:dyDescent="0.3">
      <c r="H99" s="85"/>
    </row>
    <row r="100" spans="8:8" x14ac:dyDescent="0.3">
      <c r="H100" s="85"/>
    </row>
    <row r="101" spans="8:8" x14ac:dyDescent="0.3">
      <c r="H101" s="85"/>
    </row>
    <row r="102" spans="8:8" x14ac:dyDescent="0.3">
      <c r="H102" s="85"/>
    </row>
    <row r="103" spans="8:8" x14ac:dyDescent="0.3">
      <c r="H103" s="85"/>
    </row>
    <row r="104" spans="8:8" x14ac:dyDescent="0.3">
      <c r="H104" s="85"/>
    </row>
    <row r="105" spans="8:8" x14ac:dyDescent="0.3">
      <c r="H105" s="85"/>
    </row>
    <row r="106" spans="8:8" x14ac:dyDescent="0.3">
      <c r="H106" s="85"/>
    </row>
    <row r="107" spans="8:8" x14ac:dyDescent="0.3">
      <c r="H107" s="85"/>
    </row>
    <row r="108" spans="8:8" x14ac:dyDescent="0.3">
      <c r="H108" s="85"/>
    </row>
    <row r="109" spans="8:8" x14ac:dyDescent="0.3">
      <c r="H109" s="85"/>
    </row>
    <row r="110" spans="8:8" x14ac:dyDescent="0.3">
      <c r="H110" s="85"/>
    </row>
    <row r="111" spans="8:8" x14ac:dyDescent="0.3">
      <c r="H111" s="85"/>
    </row>
    <row r="112" spans="8:8" x14ac:dyDescent="0.3">
      <c r="H112" s="85"/>
    </row>
    <row r="113" spans="8:8" x14ac:dyDescent="0.3">
      <c r="H113" s="85"/>
    </row>
    <row r="114" spans="8:8" x14ac:dyDescent="0.3">
      <c r="H114" s="85"/>
    </row>
    <row r="115" spans="8:8" x14ac:dyDescent="0.3">
      <c r="H115" s="85"/>
    </row>
    <row r="116" spans="8:8" x14ac:dyDescent="0.3">
      <c r="H116" s="85"/>
    </row>
    <row r="117" spans="8:8" x14ac:dyDescent="0.3">
      <c r="H117" s="85"/>
    </row>
    <row r="118" spans="8:8" x14ac:dyDescent="0.3">
      <c r="H118" s="85"/>
    </row>
    <row r="119" spans="8:8" x14ac:dyDescent="0.3">
      <c r="H119" s="85"/>
    </row>
    <row r="120" spans="8:8" x14ac:dyDescent="0.3">
      <c r="H120" s="85"/>
    </row>
    <row r="121" spans="8:8" x14ac:dyDescent="0.3">
      <c r="H121" s="85"/>
    </row>
    <row r="122" spans="8:8" x14ac:dyDescent="0.3">
      <c r="H122" s="85"/>
    </row>
    <row r="123" spans="8:8" x14ac:dyDescent="0.3">
      <c r="H123" s="85"/>
    </row>
    <row r="124" spans="8:8" x14ac:dyDescent="0.3">
      <c r="H124" s="85"/>
    </row>
    <row r="125" spans="8:8" x14ac:dyDescent="0.3">
      <c r="H125" s="85"/>
    </row>
    <row r="126" spans="8:8" x14ac:dyDescent="0.3">
      <c r="H126" s="85"/>
    </row>
    <row r="127" spans="8:8" x14ac:dyDescent="0.3">
      <c r="H127" s="85"/>
    </row>
    <row r="128" spans="8:8" x14ac:dyDescent="0.3">
      <c r="H128" s="85"/>
    </row>
    <row r="129" spans="8:8" x14ac:dyDescent="0.3">
      <c r="H129" s="85"/>
    </row>
    <row r="130" spans="8:8" x14ac:dyDescent="0.3">
      <c r="H130" s="85"/>
    </row>
    <row r="131" spans="8:8" x14ac:dyDescent="0.3">
      <c r="H131" s="85"/>
    </row>
    <row r="132" spans="8:8" x14ac:dyDescent="0.3">
      <c r="H132" s="85"/>
    </row>
    <row r="133" spans="8:8" x14ac:dyDescent="0.3">
      <c r="H133" s="85"/>
    </row>
    <row r="134" spans="8:8" x14ac:dyDescent="0.3">
      <c r="H134" s="85"/>
    </row>
    <row r="135" spans="8:8" x14ac:dyDescent="0.3">
      <c r="H135" s="85"/>
    </row>
    <row r="136" spans="8:8" x14ac:dyDescent="0.3">
      <c r="H136" s="85"/>
    </row>
    <row r="137" spans="8:8" x14ac:dyDescent="0.3">
      <c r="H137" s="85"/>
    </row>
    <row r="138" spans="8:8" x14ac:dyDescent="0.3">
      <c r="H138" s="85"/>
    </row>
    <row r="139" spans="8:8" x14ac:dyDescent="0.3">
      <c r="H139" s="85"/>
    </row>
    <row r="140" spans="8:8" x14ac:dyDescent="0.3">
      <c r="H140" s="85"/>
    </row>
    <row r="141" spans="8:8" x14ac:dyDescent="0.3">
      <c r="H141" s="85"/>
    </row>
    <row r="142" spans="8:8" x14ac:dyDescent="0.3">
      <c r="H142" s="85"/>
    </row>
    <row r="143" spans="8:8" x14ac:dyDescent="0.3">
      <c r="H143" s="85"/>
    </row>
    <row r="144" spans="8:8" x14ac:dyDescent="0.3">
      <c r="H144" s="85"/>
    </row>
    <row r="145" spans="8:8" x14ac:dyDescent="0.3">
      <c r="H145" s="85"/>
    </row>
    <row r="146" spans="8:8" x14ac:dyDescent="0.3">
      <c r="H146" s="85"/>
    </row>
    <row r="147" spans="8:8" x14ac:dyDescent="0.3">
      <c r="H147" s="85"/>
    </row>
    <row r="148" spans="8:8" x14ac:dyDescent="0.3">
      <c r="H148" s="85"/>
    </row>
    <row r="149" spans="8:8" x14ac:dyDescent="0.3">
      <c r="H149" s="85"/>
    </row>
    <row r="150" spans="8:8" x14ac:dyDescent="0.3">
      <c r="H150" s="85"/>
    </row>
    <row r="151" spans="8:8" x14ac:dyDescent="0.3">
      <c r="H151" s="85"/>
    </row>
    <row r="152" spans="8:8" x14ac:dyDescent="0.3">
      <c r="H152" s="85"/>
    </row>
    <row r="153" spans="8:8" x14ac:dyDescent="0.3">
      <c r="H153" s="85"/>
    </row>
    <row r="154" spans="8:8" x14ac:dyDescent="0.3">
      <c r="H154" s="85"/>
    </row>
    <row r="155" spans="8:8" x14ac:dyDescent="0.3">
      <c r="H155" s="85"/>
    </row>
    <row r="156" spans="8:8" x14ac:dyDescent="0.3">
      <c r="H156" s="85"/>
    </row>
    <row r="157" spans="8:8" x14ac:dyDescent="0.3">
      <c r="H157" s="85"/>
    </row>
    <row r="158" spans="8:8" x14ac:dyDescent="0.3">
      <c r="H158" s="85"/>
    </row>
    <row r="159" spans="8:8" x14ac:dyDescent="0.3">
      <c r="H159" s="85"/>
    </row>
    <row r="160" spans="8:8" x14ac:dyDescent="0.3">
      <c r="H160" s="85"/>
    </row>
    <row r="161" spans="8:8" x14ac:dyDescent="0.3">
      <c r="H161" s="85"/>
    </row>
    <row r="162" spans="8:8" x14ac:dyDescent="0.3">
      <c r="H162" s="85"/>
    </row>
    <row r="163" spans="8:8" x14ac:dyDescent="0.3">
      <c r="H163" s="85"/>
    </row>
    <row r="164" spans="8:8" x14ac:dyDescent="0.3">
      <c r="H164" s="85"/>
    </row>
    <row r="165" spans="8:8" x14ac:dyDescent="0.3">
      <c r="H165" s="85"/>
    </row>
    <row r="166" spans="8:8" x14ac:dyDescent="0.3">
      <c r="H166" s="85"/>
    </row>
    <row r="167" spans="8:8" x14ac:dyDescent="0.3">
      <c r="H167" s="85"/>
    </row>
    <row r="168" spans="8:8" x14ac:dyDescent="0.3">
      <c r="H168" s="85"/>
    </row>
    <row r="169" spans="8:8" x14ac:dyDescent="0.3">
      <c r="H169" s="85"/>
    </row>
    <row r="170" spans="8:8" x14ac:dyDescent="0.3">
      <c r="H170" s="85"/>
    </row>
    <row r="171" spans="8:8" x14ac:dyDescent="0.3">
      <c r="H171" s="85"/>
    </row>
    <row r="172" spans="8:8" x14ac:dyDescent="0.3">
      <c r="H172" s="85"/>
    </row>
    <row r="173" spans="8:8" x14ac:dyDescent="0.3">
      <c r="H173" s="85"/>
    </row>
    <row r="174" spans="8:8" x14ac:dyDescent="0.3">
      <c r="H174" s="85"/>
    </row>
    <row r="175" spans="8:8" x14ac:dyDescent="0.3">
      <c r="H175" s="85"/>
    </row>
    <row r="176" spans="8:8" x14ac:dyDescent="0.3">
      <c r="H176" s="85"/>
    </row>
    <row r="177" spans="8:8" x14ac:dyDescent="0.3">
      <c r="H177" s="85"/>
    </row>
    <row r="178" spans="8:8" x14ac:dyDescent="0.3">
      <c r="H178" s="85"/>
    </row>
    <row r="179" spans="8:8" x14ac:dyDescent="0.3">
      <c r="H179" s="85"/>
    </row>
    <row r="180" spans="8:8" x14ac:dyDescent="0.3">
      <c r="H180" s="85"/>
    </row>
    <row r="181" spans="8:8" x14ac:dyDescent="0.3">
      <c r="H181" s="85"/>
    </row>
    <row r="182" spans="8:8" x14ac:dyDescent="0.3">
      <c r="H182" s="85"/>
    </row>
    <row r="183" spans="8:8" x14ac:dyDescent="0.3">
      <c r="H183" s="85"/>
    </row>
    <row r="184" spans="8:8" x14ac:dyDescent="0.3">
      <c r="H184" s="85"/>
    </row>
    <row r="185" spans="8:8" x14ac:dyDescent="0.3">
      <c r="H185" s="85"/>
    </row>
    <row r="186" spans="8:8" x14ac:dyDescent="0.3">
      <c r="H186" s="85"/>
    </row>
    <row r="187" spans="8:8" x14ac:dyDescent="0.3">
      <c r="H187" s="85"/>
    </row>
    <row r="188" spans="8:8" x14ac:dyDescent="0.3">
      <c r="H188" s="85"/>
    </row>
    <row r="189" spans="8:8" x14ac:dyDescent="0.3">
      <c r="H189" s="85"/>
    </row>
    <row r="190" spans="8:8" x14ac:dyDescent="0.3">
      <c r="H190" s="85"/>
    </row>
    <row r="191" spans="8:8" x14ac:dyDescent="0.3">
      <c r="H191" s="85"/>
    </row>
    <row r="192" spans="8:8" x14ac:dyDescent="0.3">
      <c r="H192" s="85"/>
    </row>
    <row r="193" spans="8:8" x14ac:dyDescent="0.3">
      <c r="H193" s="85"/>
    </row>
    <row r="194" spans="8:8" x14ac:dyDescent="0.3">
      <c r="H194" s="85"/>
    </row>
    <row r="195" spans="8:8" x14ac:dyDescent="0.3">
      <c r="H195" s="85"/>
    </row>
    <row r="196" spans="8:8" x14ac:dyDescent="0.3">
      <c r="H196" s="85"/>
    </row>
    <row r="197" spans="8:8" x14ac:dyDescent="0.3">
      <c r="H197" s="85"/>
    </row>
    <row r="198" spans="8:8" x14ac:dyDescent="0.3">
      <c r="H198" s="85"/>
    </row>
    <row r="199" spans="8:8" x14ac:dyDescent="0.3">
      <c r="H199" s="85"/>
    </row>
    <row r="200" spans="8:8" x14ac:dyDescent="0.3">
      <c r="H200" s="85"/>
    </row>
    <row r="201" spans="8:8" x14ac:dyDescent="0.3">
      <c r="H201" s="85"/>
    </row>
    <row r="202" spans="8:8" x14ac:dyDescent="0.3">
      <c r="H202" s="85"/>
    </row>
    <row r="203" spans="8:8" x14ac:dyDescent="0.3">
      <c r="H203" s="85"/>
    </row>
    <row r="204" spans="8:8" x14ac:dyDescent="0.3">
      <c r="H204" s="85"/>
    </row>
    <row r="205" spans="8:8" x14ac:dyDescent="0.3">
      <c r="H205" s="85"/>
    </row>
    <row r="206" spans="8:8" x14ac:dyDescent="0.3">
      <c r="H206" s="85"/>
    </row>
    <row r="207" spans="8:8" x14ac:dyDescent="0.3">
      <c r="H207" s="85"/>
    </row>
    <row r="208" spans="8:8" x14ac:dyDescent="0.3">
      <c r="H208" s="85"/>
    </row>
    <row r="209" spans="8:8" x14ac:dyDescent="0.3">
      <c r="H209" s="85"/>
    </row>
    <row r="210" spans="8:8" x14ac:dyDescent="0.3">
      <c r="H210" s="85"/>
    </row>
    <row r="211" spans="8:8" x14ac:dyDescent="0.3">
      <c r="H211" s="85"/>
    </row>
    <row r="212" spans="8:8" x14ac:dyDescent="0.3">
      <c r="H212" s="85"/>
    </row>
    <row r="213" spans="8:8" x14ac:dyDescent="0.3">
      <c r="H213" s="85"/>
    </row>
    <row r="214" spans="8:8" x14ac:dyDescent="0.3">
      <c r="H214" s="85"/>
    </row>
    <row r="215" spans="8:8" x14ac:dyDescent="0.3">
      <c r="H215" s="85"/>
    </row>
    <row r="216" spans="8:8" x14ac:dyDescent="0.3">
      <c r="H216" s="85"/>
    </row>
    <row r="217" spans="8:8" x14ac:dyDescent="0.3">
      <c r="H217" s="85"/>
    </row>
    <row r="218" spans="8:8" x14ac:dyDescent="0.3">
      <c r="H218" s="85"/>
    </row>
  </sheetData>
  <phoneticPr fontId="10" type="noConversion"/>
  <conditionalFormatting sqref="G1:G2 G219:G1048576">
    <cfRule type="cellIs" dxfId="0" priority="2" operator="equal">
      <formula>"파리"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30B-98B2-4916-B11A-50F1B466CE25}">
  <dimension ref="B1:AD74"/>
  <sheetViews>
    <sheetView showGridLines="0" topLeftCell="A8" zoomScale="115" zoomScaleNormal="115" workbookViewId="0">
      <selection activeCell="R61" sqref="Q61:R62"/>
    </sheetView>
  </sheetViews>
  <sheetFormatPr defaultRowHeight="23" customHeight="1" x14ac:dyDescent="0.3"/>
  <cols>
    <col min="1" max="1" width="3.625" customWidth="1"/>
    <col min="2" max="2" width="6.625" customWidth="1"/>
    <col min="3" max="3" width="1.625" customWidth="1"/>
    <col min="5" max="5" width="19.5" customWidth="1"/>
    <col min="6" max="9" width="5.875" customWidth="1"/>
    <col min="10" max="12" width="5.125" customWidth="1"/>
    <col min="13" max="13" width="9.875" customWidth="1"/>
    <col min="14" max="14" width="4.625" customWidth="1"/>
    <col min="15" max="15" width="17.625" bestFit="1" customWidth="1"/>
    <col min="16" max="16" width="16" bestFit="1" customWidth="1"/>
    <col min="17" max="18" width="15.125" bestFit="1" customWidth="1"/>
    <col min="19" max="19" width="16" bestFit="1" customWidth="1"/>
    <col min="20" max="20" width="17.625" bestFit="1" customWidth="1"/>
    <col min="21" max="21" width="1.625" customWidth="1"/>
    <col min="22" max="22" width="16" bestFit="1" customWidth="1"/>
    <col min="23" max="23" width="14" bestFit="1" customWidth="1"/>
    <col min="24" max="26" width="12.125" bestFit="1" customWidth="1"/>
    <col min="27" max="29" width="14" bestFit="1" customWidth="1"/>
    <col min="30" max="30" width="17.625" bestFit="1" customWidth="1"/>
    <col min="31" max="38" width="9" customWidth="1"/>
  </cols>
  <sheetData>
    <row r="1" spans="2:13" ht="23" customHeight="1" thickBot="1" x14ac:dyDescent="0.35"/>
    <row r="2" spans="2:13" ht="23" customHeight="1" thickBot="1" x14ac:dyDescent="0.35">
      <c r="D2" s="227" t="s">
        <v>71</v>
      </c>
      <c r="E2" s="228"/>
      <c r="F2" s="228"/>
      <c r="G2" s="228"/>
      <c r="H2" s="228"/>
      <c r="I2" s="228"/>
      <c r="J2" s="228"/>
      <c r="K2" s="228"/>
      <c r="L2" s="228"/>
      <c r="M2" s="229"/>
    </row>
    <row r="3" spans="2:13" ht="23" customHeight="1" thickBot="1" x14ac:dyDescent="0.35"/>
    <row r="4" spans="2:13" ht="17.149999999999999" thickBot="1" x14ac:dyDescent="0.35">
      <c r="B4" s="224" t="s">
        <v>67</v>
      </c>
      <c r="D4" s="136" t="s">
        <v>35</v>
      </c>
      <c r="E4" s="43" t="s">
        <v>5</v>
      </c>
      <c r="F4" s="44" t="s">
        <v>33</v>
      </c>
      <c r="G4" s="45" t="s">
        <v>4</v>
      </c>
      <c r="H4" s="45" t="s">
        <v>2</v>
      </c>
      <c r="I4" s="45" t="s">
        <v>10</v>
      </c>
      <c r="J4" s="46" t="s">
        <v>26</v>
      </c>
      <c r="K4" s="45" t="s">
        <v>28</v>
      </c>
      <c r="L4" s="47" t="s">
        <v>30</v>
      </c>
      <c r="M4" s="47" t="s">
        <v>36</v>
      </c>
    </row>
    <row r="5" spans="2:13" ht="23" customHeight="1" thickBot="1" x14ac:dyDescent="0.35">
      <c r="B5" s="225"/>
      <c r="D5" s="137">
        <v>1</v>
      </c>
      <c r="E5" s="51" t="str" cm="1">
        <f t="array" ref="E5:M8">_xlfn._xlws.SORT(_xlfn._xlws.SORT(_xlfn._xlws.SORT(_xlfn._xlws.SORT((_xlfn._xlws.FILTER(표2_4[],표2_4[경기]&gt;(-1),)),7,1),6,-1),8,-1),9,-1)</f>
        <v>첼시</v>
      </c>
      <c r="F5" s="39">
        <v>6</v>
      </c>
      <c r="G5" s="40">
        <v>3</v>
      </c>
      <c r="H5" s="40">
        <v>2</v>
      </c>
      <c r="I5" s="40">
        <v>1</v>
      </c>
      <c r="J5" s="41">
        <v>18</v>
      </c>
      <c r="K5" s="40">
        <v>15</v>
      </c>
      <c r="L5" s="42">
        <v>3</v>
      </c>
      <c r="M5" s="48">
        <v>11</v>
      </c>
    </row>
    <row r="6" spans="2:13" ht="23" customHeight="1" thickBot="1" x14ac:dyDescent="0.35">
      <c r="B6" s="225"/>
      <c r="D6" s="138">
        <v>2</v>
      </c>
      <c r="E6" s="52" t="str">
        <v>ATM</v>
      </c>
      <c r="F6" s="32">
        <v>6</v>
      </c>
      <c r="G6" s="33">
        <v>3</v>
      </c>
      <c r="H6" s="33">
        <v>0</v>
      </c>
      <c r="I6" s="33">
        <v>3</v>
      </c>
      <c r="J6" s="34">
        <v>20</v>
      </c>
      <c r="K6" s="33">
        <v>16</v>
      </c>
      <c r="L6" s="35">
        <v>4</v>
      </c>
      <c r="M6" s="49">
        <v>9</v>
      </c>
    </row>
    <row r="7" spans="2:13" ht="23" customHeight="1" thickBot="1" x14ac:dyDescent="0.35">
      <c r="B7" s="225"/>
      <c r="D7" s="139">
        <v>3</v>
      </c>
      <c r="E7" s="53" t="str">
        <v>레알 마드리드</v>
      </c>
      <c r="F7" s="28">
        <v>6</v>
      </c>
      <c r="G7" s="29">
        <v>2</v>
      </c>
      <c r="H7" s="29">
        <v>1</v>
      </c>
      <c r="I7" s="29">
        <v>3</v>
      </c>
      <c r="J7" s="30">
        <v>14</v>
      </c>
      <c r="K7" s="29">
        <v>14</v>
      </c>
      <c r="L7" s="31">
        <v>0</v>
      </c>
      <c r="M7" s="50">
        <v>7</v>
      </c>
    </row>
    <row r="8" spans="2:13" ht="23" customHeight="1" thickBot="1" x14ac:dyDescent="0.35">
      <c r="B8" s="226"/>
      <c r="D8" s="140">
        <v>4</v>
      </c>
      <c r="E8" s="54" t="str">
        <v>레버쿠젠</v>
      </c>
      <c r="F8" s="55">
        <v>6</v>
      </c>
      <c r="G8" s="56">
        <v>2</v>
      </c>
      <c r="H8" s="56">
        <v>1</v>
      </c>
      <c r="I8" s="56">
        <v>3</v>
      </c>
      <c r="J8" s="57">
        <v>9</v>
      </c>
      <c r="K8" s="56">
        <v>16</v>
      </c>
      <c r="L8" s="58">
        <v>-7</v>
      </c>
      <c r="M8" s="59">
        <v>7</v>
      </c>
    </row>
    <row r="9" spans="2:13" ht="10" customHeight="1" thickBot="1" x14ac:dyDescent="0.35"/>
    <row r="10" spans="2:13" ht="17.149999999999999" thickBot="1" x14ac:dyDescent="0.35">
      <c r="B10" s="224" t="s">
        <v>68</v>
      </c>
      <c r="D10" s="136" t="s">
        <v>45</v>
      </c>
      <c r="E10" s="43" t="s">
        <v>5</v>
      </c>
      <c r="F10" s="44" t="s">
        <v>33</v>
      </c>
      <c r="G10" s="45" t="s">
        <v>4</v>
      </c>
      <c r="H10" s="45" t="s">
        <v>2</v>
      </c>
      <c r="I10" s="45" t="s">
        <v>10</v>
      </c>
      <c r="J10" s="46" t="s">
        <v>26</v>
      </c>
      <c r="K10" s="45" t="s">
        <v>28</v>
      </c>
      <c r="L10" s="47" t="s">
        <v>30</v>
      </c>
      <c r="M10" s="47" t="s">
        <v>36</v>
      </c>
    </row>
    <row r="11" spans="2:13" ht="23" customHeight="1" thickBot="1" x14ac:dyDescent="0.35">
      <c r="B11" s="225"/>
      <c r="D11" s="137">
        <v>1</v>
      </c>
      <c r="E11" s="51" t="str" cm="1">
        <f t="array" ref="E11:M14">_xlfn._xlws.SORT(_xlfn._xlws.SORT(_xlfn._xlws.SORT(_xlfn._xlws.SORT((_xlfn._xlws.FILTER(표2_46[],표2_46[경기]&gt;(-1),)),7,1),6,-1),8,-1),9,-1)</f>
        <v>도르트문트</v>
      </c>
      <c r="F11" s="39">
        <v>6</v>
      </c>
      <c r="G11" s="40">
        <v>5</v>
      </c>
      <c r="H11" s="40">
        <v>1</v>
      </c>
      <c r="I11" s="40">
        <v>0</v>
      </c>
      <c r="J11" s="41">
        <v>30</v>
      </c>
      <c r="K11" s="40">
        <v>10</v>
      </c>
      <c r="L11" s="42">
        <v>20</v>
      </c>
      <c r="M11" s="48">
        <v>16</v>
      </c>
    </row>
    <row r="12" spans="2:13" ht="23" customHeight="1" thickBot="1" x14ac:dyDescent="0.35">
      <c r="B12" s="225"/>
      <c r="D12" s="138">
        <v>2</v>
      </c>
      <c r="E12" s="52" t="str">
        <v>맨유</v>
      </c>
      <c r="F12" s="32">
        <v>6</v>
      </c>
      <c r="G12" s="33">
        <v>3</v>
      </c>
      <c r="H12" s="33">
        <v>1</v>
      </c>
      <c r="I12" s="33">
        <v>2</v>
      </c>
      <c r="J12" s="34">
        <v>19</v>
      </c>
      <c r="K12" s="33">
        <v>13</v>
      </c>
      <c r="L12" s="35">
        <v>6</v>
      </c>
      <c r="M12" s="49">
        <v>10</v>
      </c>
    </row>
    <row r="13" spans="2:13" ht="23" customHeight="1" thickBot="1" x14ac:dyDescent="0.35">
      <c r="B13" s="225"/>
      <c r="D13" s="139">
        <v>3</v>
      </c>
      <c r="E13" s="53" t="str">
        <v>토트넘</v>
      </c>
      <c r="F13" s="28">
        <v>6</v>
      </c>
      <c r="G13" s="29">
        <v>2</v>
      </c>
      <c r="H13" s="29">
        <v>1</v>
      </c>
      <c r="I13" s="29">
        <v>3</v>
      </c>
      <c r="J13" s="30">
        <v>10</v>
      </c>
      <c r="K13" s="29">
        <v>18</v>
      </c>
      <c r="L13" s="31">
        <v>-8</v>
      </c>
      <c r="M13" s="50">
        <v>7</v>
      </c>
    </row>
    <row r="14" spans="2:13" ht="23" customHeight="1" thickBot="1" x14ac:dyDescent="0.35">
      <c r="B14" s="226"/>
      <c r="D14" s="140">
        <v>4</v>
      </c>
      <c r="E14" s="54" t="str">
        <v>아우크스부르크</v>
      </c>
      <c r="F14" s="55">
        <v>6</v>
      </c>
      <c r="G14" s="56">
        <v>0</v>
      </c>
      <c r="H14" s="56">
        <v>1</v>
      </c>
      <c r="I14" s="56">
        <v>5</v>
      </c>
      <c r="J14" s="57">
        <v>5</v>
      </c>
      <c r="K14" s="56">
        <v>23</v>
      </c>
      <c r="L14" s="58">
        <v>-18</v>
      </c>
      <c r="M14" s="59">
        <v>1</v>
      </c>
    </row>
    <row r="15" spans="2:13" ht="10" customHeight="1" thickBot="1" x14ac:dyDescent="0.35"/>
    <row r="16" spans="2:13" ht="17.149999999999999" thickBot="1" x14ac:dyDescent="0.35">
      <c r="B16" s="224" t="s">
        <v>84</v>
      </c>
      <c r="D16" s="136" t="s">
        <v>35</v>
      </c>
      <c r="E16" s="43" t="s">
        <v>5</v>
      </c>
      <c r="F16" s="44" t="s">
        <v>33</v>
      </c>
      <c r="G16" s="45" t="s">
        <v>4</v>
      </c>
      <c r="H16" s="45" t="s">
        <v>2</v>
      </c>
      <c r="I16" s="45" t="s">
        <v>10</v>
      </c>
      <c r="J16" s="46" t="s">
        <v>26</v>
      </c>
      <c r="K16" s="45" t="s">
        <v>28</v>
      </c>
      <c r="L16" s="47" t="s">
        <v>30</v>
      </c>
      <c r="M16" s="47" t="s">
        <v>36</v>
      </c>
    </row>
    <row r="17" spans="2:30" ht="23" customHeight="1" thickBot="1" x14ac:dyDescent="0.35">
      <c r="B17" s="225"/>
      <c r="D17" s="137">
        <v>1</v>
      </c>
      <c r="E17" s="51" t="str" cm="1">
        <f t="array" ref="E17:M19">_xlfn._xlws.SORT(_xlfn._xlws.SORT(_xlfn._xlws.SORT(_xlfn._xlws.SORT((_xlfn._xlws.FILTER(표2_4681015[],표2_4681015[경기]&gt;(-1),)),7,1),6,-1),8,-1),9,-1)</f>
        <v>인테르</v>
      </c>
      <c r="F17" s="39">
        <v>4</v>
      </c>
      <c r="G17" s="40">
        <v>4</v>
      </c>
      <c r="H17" s="40">
        <v>0</v>
      </c>
      <c r="I17" s="40">
        <v>0</v>
      </c>
      <c r="J17" s="41">
        <v>15</v>
      </c>
      <c r="K17" s="40">
        <v>7</v>
      </c>
      <c r="L17" s="42">
        <v>8</v>
      </c>
      <c r="M17" s="48">
        <v>12</v>
      </c>
    </row>
    <row r="18" spans="2:30" ht="23" customHeight="1" thickBot="1" x14ac:dyDescent="0.35">
      <c r="B18" s="225"/>
      <c r="D18" s="138">
        <v>2</v>
      </c>
      <c r="E18" s="52" t="str">
        <v>PSV</v>
      </c>
      <c r="F18" s="32">
        <v>2</v>
      </c>
      <c r="G18" s="33">
        <v>0</v>
      </c>
      <c r="H18" s="33">
        <v>0</v>
      </c>
      <c r="I18" s="33">
        <v>2</v>
      </c>
      <c r="J18" s="34">
        <v>6</v>
      </c>
      <c r="K18" s="33">
        <v>9</v>
      </c>
      <c r="L18" s="35">
        <v>-3</v>
      </c>
      <c r="M18" s="49">
        <v>0</v>
      </c>
    </row>
    <row r="19" spans="2:30" ht="23" customHeight="1" thickBot="1" x14ac:dyDescent="0.35">
      <c r="B19" s="226"/>
      <c r="D19" s="141">
        <v>3</v>
      </c>
      <c r="E19" s="142" t="str">
        <v>유벤투스</v>
      </c>
      <c r="F19" s="143">
        <v>2</v>
      </c>
      <c r="G19" s="36">
        <v>0</v>
      </c>
      <c r="H19" s="36">
        <v>0</v>
      </c>
      <c r="I19" s="36">
        <v>2</v>
      </c>
      <c r="J19" s="37">
        <v>1</v>
      </c>
      <c r="K19" s="36">
        <v>6</v>
      </c>
      <c r="L19" s="38">
        <v>-5</v>
      </c>
      <c r="M19" s="144">
        <v>0</v>
      </c>
    </row>
    <row r="20" spans="2:30" ht="10" customHeight="1" thickBot="1" x14ac:dyDescent="0.35"/>
    <row r="21" spans="2:30" ht="17.149999999999999" thickBot="1" x14ac:dyDescent="0.35">
      <c r="B21" s="224" t="s">
        <v>70</v>
      </c>
      <c r="D21" s="136" t="s">
        <v>35</v>
      </c>
      <c r="E21" s="43" t="s">
        <v>5</v>
      </c>
      <c r="F21" s="44" t="s">
        <v>33</v>
      </c>
      <c r="G21" s="45" t="s">
        <v>4</v>
      </c>
      <c r="H21" s="45" t="s">
        <v>2</v>
      </c>
      <c r="I21" s="45" t="s">
        <v>10</v>
      </c>
      <c r="J21" s="46" t="s">
        <v>26</v>
      </c>
      <c r="K21" s="45" t="s">
        <v>28</v>
      </c>
      <c r="L21" s="47" t="s">
        <v>30</v>
      </c>
      <c r="M21" s="47" t="s">
        <v>36</v>
      </c>
    </row>
    <row r="22" spans="2:30" ht="23" customHeight="1" thickBot="1" x14ac:dyDescent="0.35">
      <c r="B22" s="225"/>
      <c r="D22" s="137">
        <v>1</v>
      </c>
      <c r="E22" s="51" t="str" cm="1">
        <f t="array" ref="E22:M24">_xlfn._xlws.SORT(_xlfn._xlws.SORT(_xlfn._xlws.SORT(_xlfn._xlws.SORT((_xlfn._xlws.FILTER(표2_46810[],표2_46810[경기]&gt;(-1),)),7,1),6,-1),8,-1),9,-1)</f>
        <v>뉴캐슬</v>
      </c>
      <c r="F22" s="39">
        <v>0</v>
      </c>
      <c r="G22" s="40">
        <v>0</v>
      </c>
      <c r="H22" s="40">
        <v>0</v>
      </c>
      <c r="I22" s="40">
        <v>0</v>
      </c>
      <c r="J22" s="41">
        <v>0</v>
      </c>
      <c r="K22" s="40">
        <v>0</v>
      </c>
      <c r="L22" s="42">
        <v>0</v>
      </c>
      <c r="M22" s="48">
        <v>0</v>
      </c>
    </row>
    <row r="23" spans="2:30" ht="23" customHeight="1" thickBot="1" x14ac:dyDescent="0.35">
      <c r="B23" s="225"/>
      <c r="D23" s="138">
        <v>2</v>
      </c>
      <c r="E23" s="52" t="str">
        <v>뮌헨</v>
      </c>
      <c r="F23" s="32">
        <v>0</v>
      </c>
      <c r="G23" s="33">
        <v>0</v>
      </c>
      <c r="H23" s="33">
        <v>0</v>
      </c>
      <c r="I23" s="33">
        <v>0</v>
      </c>
      <c r="J23" s="34">
        <v>0</v>
      </c>
      <c r="K23" s="33">
        <v>0</v>
      </c>
      <c r="L23" s="35">
        <v>0</v>
      </c>
      <c r="M23" s="49">
        <v>0</v>
      </c>
    </row>
    <row r="24" spans="2:30" ht="23" customHeight="1" thickBot="1" x14ac:dyDescent="0.35">
      <c r="B24" s="226"/>
      <c r="D24" s="141">
        <v>3</v>
      </c>
      <c r="E24" s="142" t="str">
        <v>비야레알</v>
      </c>
      <c r="F24" s="143">
        <v>0</v>
      </c>
      <c r="G24" s="36">
        <v>0</v>
      </c>
      <c r="H24" s="36">
        <v>0</v>
      </c>
      <c r="I24" s="36">
        <v>0</v>
      </c>
      <c r="J24" s="37">
        <v>0</v>
      </c>
      <c r="K24" s="36">
        <v>0</v>
      </c>
      <c r="L24" s="38">
        <v>0</v>
      </c>
      <c r="M24" s="144">
        <v>0</v>
      </c>
    </row>
    <row r="25" spans="2:30" ht="29.95" customHeight="1" thickBot="1" x14ac:dyDescent="0.35">
      <c r="O25" s="230" t="s">
        <v>67</v>
      </c>
      <c r="P25" s="231"/>
      <c r="Q25" s="231"/>
      <c r="R25" s="231"/>
      <c r="S25" s="231"/>
      <c r="T25" s="232"/>
      <c r="X25" s="1" t="s">
        <v>4</v>
      </c>
      <c r="Y25" s="1" t="s">
        <v>2</v>
      </c>
      <c r="Z25" s="1" t="s">
        <v>10</v>
      </c>
    </row>
    <row r="26" spans="2:30" ht="29.95" customHeight="1" x14ac:dyDescent="0.3">
      <c r="O26" s="156" t="s">
        <v>19</v>
      </c>
      <c r="P26" s="10" t="s">
        <v>20</v>
      </c>
      <c r="Q26" s="157" t="s">
        <v>21</v>
      </c>
      <c r="R26" s="9" t="s">
        <v>22</v>
      </c>
      <c r="S26" s="10" t="s">
        <v>23</v>
      </c>
      <c r="T26" s="11" t="s">
        <v>24</v>
      </c>
      <c r="V26" s="1" t="s">
        <v>34</v>
      </c>
      <c r="W26" s="1" t="s">
        <v>32</v>
      </c>
      <c r="X26" s="1" t="s">
        <v>3</v>
      </c>
      <c r="Y26" s="1" t="s">
        <v>1</v>
      </c>
      <c r="Z26" s="1" t="s">
        <v>9</v>
      </c>
      <c r="AA26" s="1" t="s">
        <v>25</v>
      </c>
      <c r="AB26" s="1" t="s">
        <v>27</v>
      </c>
      <c r="AC26" s="1" t="s">
        <v>29</v>
      </c>
      <c r="AD26" s="1" t="s">
        <v>31</v>
      </c>
    </row>
    <row r="27" spans="2:30" ht="29.95" customHeight="1" x14ac:dyDescent="0.3">
      <c r="O27" s="21" t="str">
        <f t="shared" ref="O27:O38" si="0">IF(Q27="","",IF(Q27&gt;R27,"승",IF(Q27=R27,"무",IF(Q27&lt;R27,"패",""))))</f>
        <v>승</v>
      </c>
      <c r="P27" s="7" t="str">
        <f>V27</f>
        <v>레버쿠젠</v>
      </c>
      <c r="Q27" s="22">
        <v>2</v>
      </c>
      <c r="R27" s="14">
        <v>1</v>
      </c>
      <c r="S27" s="7" t="str">
        <f>V28</f>
        <v>레알 마드리드</v>
      </c>
      <c r="T27" s="15" t="str">
        <f t="shared" ref="T27:T38" si="1">IF(O27="","",IF(O27="무","무",IF(O27="승","패","승")))</f>
        <v>패</v>
      </c>
      <c r="V27" t="s">
        <v>40</v>
      </c>
      <c r="W27" s="1">
        <f>표2_4[[#This Row],[승]]+표2_4[[#This Row],[무]]+표2_4[[#This Row],[패]]</f>
        <v>6</v>
      </c>
      <c r="X27" s="1">
        <f>COUNTIFS(챔스A[팀1 결과],X$25,챔스A[팀1],표2_4[[#This Row],[팀]])+COUNTIFS(챔스A[팀2 결과],X$25,챔스A[팀2],표2_4[[#This Row],[팀]])</f>
        <v>2</v>
      </c>
      <c r="Y27" s="1">
        <f>COUNTIFS(챔스A[팀1 결과],Y$25,챔스A[팀1],표2_4[[#This Row],[팀]])+COUNTIFS(챔스A[팀2 결과],Y$25,챔스A[팀2],표2_4[[#This Row],[팀]])</f>
        <v>1</v>
      </c>
      <c r="Z27" s="1">
        <f>COUNTIFS(챔스A[팀1 결과],Z$25,챔스A[팀1],표2_4[[#This Row],[팀]])+COUNTIFS(챔스A[팀2 결과],Z$25,챔스A[팀2],표2_4[[#This Row],[팀]])</f>
        <v>3</v>
      </c>
      <c r="AA27" s="1">
        <f>SUMIF(챔스A[팀1],표2_4[[#This Row],[팀]],챔스A[팀1 S])+SUMIF(챔스A[팀2],표2_4[[#This Row],[팀]],챔스A[팀2 S])</f>
        <v>9</v>
      </c>
      <c r="AB27" s="1">
        <f>SUMIF(챔스A[팀1],표2_4[[#This Row],[팀]],챔스A[팀2 S])+SUMIF(챔스A[팀2],표2_4[[#This Row],[팀]],챔스A[팀1 S])</f>
        <v>16</v>
      </c>
      <c r="AC27" s="1">
        <f>표2_4[[#This Row],[득점]]-표2_4[[#This Row],[실점]]</f>
        <v>-7</v>
      </c>
      <c r="AD27" s="1">
        <f>표2_4[[#This Row],[승]]*3+표2_4[[#This Row],[무]]</f>
        <v>7</v>
      </c>
    </row>
    <row r="28" spans="2:30" ht="29.95" customHeight="1" x14ac:dyDescent="0.3">
      <c r="O28" s="24" t="str">
        <f t="shared" si="0"/>
        <v>승</v>
      </c>
      <c r="P28" s="17" t="str">
        <f>V27</f>
        <v>레버쿠젠</v>
      </c>
      <c r="Q28" s="25">
        <v>2</v>
      </c>
      <c r="R28" s="16">
        <v>1</v>
      </c>
      <c r="S28" s="17" t="str">
        <f>V28</f>
        <v>레알 마드리드</v>
      </c>
      <c r="T28" s="18" t="str">
        <f t="shared" si="1"/>
        <v>패</v>
      </c>
      <c r="V28" t="s">
        <v>74</v>
      </c>
      <c r="W28" s="1">
        <f>표2_4[[#This Row],[승]]+표2_4[[#This Row],[무]]+표2_4[[#This Row],[패]]</f>
        <v>6</v>
      </c>
      <c r="X28" s="1">
        <f>COUNTIFS(챔스A[팀1 결과],X$25,챔스A[팀1],표2_4[[#This Row],[팀]])+COUNTIFS(챔스A[팀2 결과],X$25,챔스A[팀2],표2_4[[#This Row],[팀]])</f>
        <v>2</v>
      </c>
      <c r="Y28" s="1">
        <f>COUNTIFS(챔스A[팀1 결과],Y$25,챔스A[팀1],표2_4[[#This Row],[팀]])+COUNTIFS(챔스A[팀2 결과],Y$25,챔스A[팀2],표2_4[[#This Row],[팀]])</f>
        <v>1</v>
      </c>
      <c r="Z28" s="1">
        <f>COUNTIFS(챔스A[팀1 결과],Z$25,챔스A[팀1],표2_4[[#This Row],[팀]])+COUNTIFS(챔스A[팀2 결과],Z$25,챔스A[팀2],표2_4[[#This Row],[팀]])</f>
        <v>3</v>
      </c>
      <c r="AA28" s="1">
        <f>SUMIF(챔스A[팀1],표2_4[[#This Row],[팀]],챔스A[팀1 S])+SUMIF(챔스A[팀2],표2_4[[#This Row],[팀]],챔스A[팀2 S])</f>
        <v>14</v>
      </c>
      <c r="AB28" s="1">
        <f>SUMIF(챔스A[팀1],표2_4[[#This Row],[팀]],챔스A[팀2 S])+SUMIF(챔스A[팀2],표2_4[[#This Row],[팀]],챔스A[팀1 S])</f>
        <v>14</v>
      </c>
      <c r="AC28" s="1">
        <f>표2_4[[#This Row],[득점]]-표2_4[[#This Row],[실점]]</f>
        <v>0</v>
      </c>
      <c r="AD28" s="1">
        <f>표2_4[[#This Row],[승]]*3+표2_4[[#This Row],[무]]</f>
        <v>7</v>
      </c>
    </row>
    <row r="29" spans="2:30" ht="29.95" customHeight="1" x14ac:dyDescent="0.3">
      <c r="O29" s="152" t="str">
        <f t="shared" si="0"/>
        <v>패</v>
      </c>
      <c r="P29" s="123" t="str">
        <f>V27</f>
        <v>레버쿠젠</v>
      </c>
      <c r="Q29" s="153">
        <v>1</v>
      </c>
      <c r="R29" s="154">
        <v>3</v>
      </c>
      <c r="S29" s="123" t="str">
        <f>V29</f>
        <v>첼시</v>
      </c>
      <c r="T29" s="153" t="str">
        <f t="shared" si="1"/>
        <v>승</v>
      </c>
      <c r="V29" t="s">
        <v>38</v>
      </c>
      <c r="W29" s="1">
        <f>표2_4[[#This Row],[승]]+표2_4[[#This Row],[무]]+표2_4[[#This Row],[패]]</f>
        <v>6</v>
      </c>
      <c r="X29" s="1">
        <f>COUNTIFS(챔스A[팀1 결과],X$25,챔스A[팀1],표2_4[[#This Row],[팀]])+COUNTIFS(챔스A[팀2 결과],X$25,챔스A[팀2],표2_4[[#This Row],[팀]])</f>
        <v>3</v>
      </c>
      <c r="Y29" s="1">
        <f>COUNTIFS(챔스A[팀1 결과],Y$25,챔스A[팀1],표2_4[[#This Row],[팀]])+COUNTIFS(챔스A[팀2 결과],Y$25,챔스A[팀2],표2_4[[#This Row],[팀]])</f>
        <v>2</v>
      </c>
      <c r="Z29" s="1">
        <f>COUNTIFS(챔스A[팀1 결과],Z$25,챔스A[팀1],표2_4[[#This Row],[팀]])+COUNTIFS(챔스A[팀2 결과],Z$25,챔스A[팀2],표2_4[[#This Row],[팀]])</f>
        <v>1</v>
      </c>
      <c r="AA29" s="1">
        <f>SUMIF(챔스A[팀1],표2_4[[#This Row],[팀]],챔스A[팀1 S])+SUMIF(챔스A[팀2],표2_4[[#This Row],[팀]],챔스A[팀2 S])</f>
        <v>18</v>
      </c>
      <c r="AB29" s="1">
        <f>SUMIF(챔스A[팀1],표2_4[[#This Row],[팀]],챔스A[팀2 S])+SUMIF(챔스A[팀2],표2_4[[#This Row],[팀]],챔스A[팀1 S])</f>
        <v>15</v>
      </c>
      <c r="AC29" s="1">
        <f>표2_4[[#This Row],[득점]]-표2_4[[#This Row],[실점]]</f>
        <v>3</v>
      </c>
      <c r="AD29" s="1">
        <f>표2_4[[#This Row],[승]]*3+표2_4[[#This Row],[무]]</f>
        <v>11</v>
      </c>
    </row>
    <row r="30" spans="2:30" ht="29.95" customHeight="1" x14ac:dyDescent="0.3">
      <c r="O30" s="148" t="str">
        <f t="shared" si="0"/>
        <v>무</v>
      </c>
      <c r="P30" s="149" t="str">
        <f>V27</f>
        <v>레버쿠젠</v>
      </c>
      <c r="Q30" s="150">
        <v>2</v>
      </c>
      <c r="R30" s="151">
        <v>2</v>
      </c>
      <c r="S30" s="149" t="str">
        <f>V29</f>
        <v>첼시</v>
      </c>
      <c r="T30" s="150" t="str">
        <f t="shared" si="1"/>
        <v>무</v>
      </c>
      <c r="V30" t="s">
        <v>42</v>
      </c>
      <c r="W30" s="1">
        <f>표2_4[[#This Row],[승]]+표2_4[[#This Row],[무]]+표2_4[[#This Row],[패]]</f>
        <v>6</v>
      </c>
      <c r="X30" s="1">
        <f>COUNTIFS(챔스A[팀1 결과],X$25,챔스A[팀1],표2_4[[#This Row],[팀]])+COUNTIFS(챔스A[팀2 결과],X$25,챔스A[팀2],표2_4[[#This Row],[팀]])</f>
        <v>3</v>
      </c>
      <c r="Y30" s="1">
        <f>COUNTIFS(챔스A[팀1 결과],Y$25,챔스A[팀1],표2_4[[#This Row],[팀]])+COUNTIFS(챔스A[팀2 결과],Y$25,챔스A[팀2],표2_4[[#This Row],[팀]])</f>
        <v>0</v>
      </c>
      <c r="Z30" s="1">
        <f>COUNTIFS(챔스A[팀1 결과],Z$25,챔스A[팀1],표2_4[[#This Row],[팀]])+COUNTIFS(챔스A[팀2 결과],Z$25,챔스A[팀2],표2_4[[#This Row],[팀]])</f>
        <v>3</v>
      </c>
      <c r="AA30" s="1">
        <f>SUMIF(챔스A[팀1],표2_4[[#This Row],[팀]],챔스A[팀1 S])+SUMIF(챔스A[팀2],표2_4[[#This Row],[팀]],챔스A[팀2 S])</f>
        <v>20</v>
      </c>
      <c r="AB30" s="1">
        <f>SUMIF(챔스A[팀1],표2_4[[#This Row],[팀]],챔스A[팀2 S])+SUMIF(챔스A[팀2],표2_4[[#This Row],[팀]],챔스A[팀1 S])</f>
        <v>16</v>
      </c>
      <c r="AC30" s="1">
        <f>표2_4[[#This Row],[득점]]-표2_4[[#This Row],[실점]]</f>
        <v>4</v>
      </c>
      <c r="AD30" s="1">
        <f>표2_4[[#This Row],[승]]*3+표2_4[[#This Row],[무]]</f>
        <v>9</v>
      </c>
    </row>
    <row r="31" spans="2:30" ht="29.95" customHeight="1" x14ac:dyDescent="0.3">
      <c r="O31" s="19" t="str">
        <f t="shared" si="0"/>
        <v>패</v>
      </c>
      <c r="P31" s="6" t="str">
        <f>V27</f>
        <v>레버쿠젠</v>
      </c>
      <c r="Q31" s="20">
        <v>1</v>
      </c>
      <c r="R31" s="12">
        <v>6</v>
      </c>
      <c r="S31" s="6" t="str">
        <f>V30</f>
        <v>ATM</v>
      </c>
      <c r="T31" s="13" t="str">
        <f t="shared" si="1"/>
        <v>승</v>
      </c>
    </row>
    <row r="32" spans="2:30" ht="29.95" customHeight="1" x14ac:dyDescent="0.3">
      <c r="O32" s="24" t="str">
        <f t="shared" si="0"/>
        <v>패</v>
      </c>
      <c r="P32" s="17" t="str">
        <f>V27</f>
        <v>레버쿠젠</v>
      </c>
      <c r="Q32" s="25">
        <v>1</v>
      </c>
      <c r="R32" s="16">
        <v>3</v>
      </c>
      <c r="S32" s="17" t="str">
        <f>V30</f>
        <v>ATM</v>
      </c>
      <c r="T32" s="18" t="str">
        <f t="shared" si="1"/>
        <v>승</v>
      </c>
      <c r="X32" s="1" t="s">
        <v>4</v>
      </c>
      <c r="Y32" s="1" t="s">
        <v>2</v>
      </c>
      <c r="Z32" s="1" t="s">
        <v>10</v>
      </c>
    </row>
    <row r="33" spans="15:30" ht="29.95" customHeight="1" x14ac:dyDescent="0.3">
      <c r="O33" s="152" t="str">
        <f t="shared" si="0"/>
        <v>무</v>
      </c>
      <c r="P33" s="123" t="str">
        <f>V28</f>
        <v>레알 마드리드</v>
      </c>
      <c r="Q33" s="153">
        <v>4</v>
      </c>
      <c r="R33" s="154">
        <v>4</v>
      </c>
      <c r="S33" s="123" t="str">
        <f>V29</f>
        <v>첼시</v>
      </c>
      <c r="T33" s="153" t="str">
        <f t="shared" si="1"/>
        <v>무</v>
      </c>
      <c r="V33" s="1" t="s">
        <v>34</v>
      </c>
      <c r="W33" s="1" t="s">
        <v>32</v>
      </c>
      <c r="X33" s="1" t="s">
        <v>3</v>
      </c>
      <c r="Y33" s="1" t="s">
        <v>1</v>
      </c>
      <c r="Z33" s="1" t="s">
        <v>9</v>
      </c>
      <c r="AA33" s="1" t="s">
        <v>25</v>
      </c>
      <c r="AB33" s="1" t="s">
        <v>27</v>
      </c>
      <c r="AC33" s="1" t="s">
        <v>29</v>
      </c>
      <c r="AD33" s="1" t="s">
        <v>31</v>
      </c>
    </row>
    <row r="34" spans="15:30" ht="29.95" customHeight="1" x14ac:dyDescent="0.3">
      <c r="O34" s="148" t="str">
        <f t="shared" si="0"/>
        <v>패</v>
      </c>
      <c r="P34" s="149" t="str">
        <f>V28</f>
        <v>레알 마드리드</v>
      </c>
      <c r="Q34" s="150">
        <v>1</v>
      </c>
      <c r="R34" s="151">
        <v>2</v>
      </c>
      <c r="S34" s="149" t="str">
        <f>V29</f>
        <v>첼시</v>
      </c>
      <c r="T34" s="150" t="str">
        <f t="shared" si="1"/>
        <v>승</v>
      </c>
      <c r="V34" t="s">
        <v>44</v>
      </c>
      <c r="W34" s="1">
        <f>표2_46[[#This Row],[승]]+표2_46[[#This Row],[무]]+표2_46[[#This Row],[패]]</f>
        <v>6</v>
      </c>
      <c r="X34" s="1">
        <f>COUNTIFS(챔스A_7[팀1 결과],X$32,챔스A_7[팀1],표2_46[[#This Row],[팀]])+COUNTIFS(챔스A_7[팀2 결과],X$32,챔스A_7[팀2],표2_46[[#This Row],[팀]])</f>
        <v>3</v>
      </c>
      <c r="Y34" s="1">
        <f>COUNTIFS(챔스A_7[팀1 결과],Y$32,챔스A_7[팀1],표2_46[[#This Row],[팀]])+COUNTIFS(챔스A_7[팀2 결과],Y$32,챔스A_7[팀2],표2_46[[#This Row],[팀]])</f>
        <v>1</v>
      </c>
      <c r="Z34" s="1">
        <f>COUNTIFS(챔스A_7[팀1 결과],Z$32,챔스A_7[팀1],표2_46[[#This Row],[팀]])+COUNTIFS(챔스A_7[팀2 결과],Z$32,챔스A_7[팀2],표2_46[[#This Row],[팀]])</f>
        <v>2</v>
      </c>
      <c r="AA34" s="1">
        <f>SUMIF(챔스A_7[팀1],표2_46[[#This Row],[팀]],챔스A_7[팀1 S])+SUMIF(챔스A_7[팀2],표2_46[[#This Row],[팀]],챔스A_7[팀2 S])</f>
        <v>19</v>
      </c>
      <c r="AB34" s="1">
        <f>SUMIF(챔스A_7[팀1],표2_46[[#This Row],[팀]],챔스A_7[팀2 S])+SUMIF(챔스A_7[팀2],표2_46[[#This Row],[팀]],챔스A_7[팀1 S])</f>
        <v>13</v>
      </c>
      <c r="AC34" s="1">
        <f>표2_46[[#This Row],[득점]]-표2_46[[#This Row],[실점]]</f>
        <v>6</v>
      </c>
      <c r="AD34" s="1">
        <f>표2_46[[#This Row],[승]]*3+표2_46[[#This Row],[무]]</f>
        <v>10</v>
      </c>
    </row>
    <row r="35" spans="15:30" ht="29.95" customHeight="1" x14ac:dyDescent="0.3">
      <c r="O35" s="152" t="str">
        <f t="shared" si="0"/>
        <v>승</v>
      </c>
      <c r="P35" s="123" t="str">
        <f>V28</f>
        <v>레알 마드리드</v>
      </c>
      <c r="Q35" s="153">
        <v>4</v>
      </c>
      <c r="R35" s="154">
        <v>2</v>
      </c>
      <c r="S35" s="123" t="str">
        <f>V30</f>
        <v>ATM</v>
      </c>
      <c r="T35" s="153" t="str">
        <f t="shared" si="1"/>
        <v>패</v>
      </c>
      <c r="V35" t="s">
        <v>56</v>
      </c>
      <c r="W35" s="1">
        <f>표2_46[[#This Row],[승]]+표2_46[[#This Row],[무]]+표2_46[[#This Row],[패]]</f>
        <v>6</v>
      </c>
      <c r="X35" s="1">
        <f>COUNTIFS(챔스A_7[팀1 결과],X$32,챔스A_7[팀1],표2_46[[#This Row],[팀]])+COUNTIFS(챔스A_7[팀2 결과],X$32,챔스A_7[팀2],표2_46[[#This Row],[팀]])</f>
        <v>0</v>
      </c>
      <c r="Y35" s="1">
        <f>COUNTIFS(챔스A_7[팀1 결과],Y$32,챔스A_7[팀1],표2_46[[#This Row],[팀]])+COUNTIFS(챔스A_7[팀2 결과],Y$32,챔스A_7[팀2],표2_46[[#This Row],[팀]])</f>
        <v>1</v>
      </c>
      <c r="Z35" s="1">
        <f>COUNTIFS(챔스A_7[팀1 결과],Z$32,챔스A_7[팀1],표2_46[[#This Row],[팀]])+COUNTIFS(챔스A_7[팀2 결과],Z$32,챔스A_7[팀2],표2_46[[#This Row],[팀]])</f>
        <v>5</v>
      </c>
      <c r="AA35" s="1">
        <f>SUMIF(챔스A_7[팀1],표2_46[[#This Row],[팀]],챔스A_7[팀1 S])+SUMIF(챔스A_7[팀2],표2_46[[#This Row],[팀]],챔스A_7[팀2 S])</f>
        <v>5</v>
      </c>
      <c r="AB35" s="1">
        <f>SUMIF(챔스A_7[팀1],표2_46[[#This Row],[팀]],챔스A_7[팀2 S])+SUMIF(챔스A_7[팀2],표2_46[[#This Row],[팀]],챔스A_7[팀1 S])</f>
        <v>23</v>
      </c>
      <c r="AC35" s="1">
        <f>표2_46[[#This Row],[득점]]-표2_46[[#This Row],[실점]]</f>
        <v>-18</v>
      </c>
      <c r="AD35" s="1">
        <f>표2_46[[#This Row],[승]]*3+표2_46[[#This Row],[무]]</f>
        <v>1</v>
      </c>
    </row>
    <row r="36" spans="15:30" ht="29.95" customHeight="1" x14ac:dyDescent="0.3">
      <c r="O36" s="148" t="str">
        <f t="shared" si="0"/>
        <v>승</v>
      </c>
      <c r="P36" s="149" t="str">
        <f>V28</f>
        <v>레알 마드리드</v>
      </c>
      <c r="Q36" s="150">
        <v>3</v>
      </c>
      <c r="R36" s="151">
        <v>2</v>
      </c>
      <c r="S36" s="149" t="str">
        <f>V30</f>
        <v>ATM</v>
      </c>
      <c r="T36" s="150" t="str">
        <f t="shared" si="1"/>
        <v>패</v>
      </c>
      <c r="V36" t="s">
        <v>37</v>
      </c>
      <c r="W36" s="1">
        <f>표2_46[[#This Row],[승]]+표2_46[[#This Row],[무]]+표2_46[[#This Row],[패]]</f>
        <v>6</v>
      </c>
      <c r="X36" s="1">
        <f>COUNTIFS(챔스A_7[팀1 결과],X$32,챔스A_7[팀1],표2_46[[#This Row],[팀]])+COUNTIFS(챔스A_7[팀2 결과],X$32,챔스A_7[팀2],표2_46[[#This Row],[팀]])</f>
        <v>2</v>
      </c>
      <c r="Y36" s="1">
        <f>COUNTIFS(챔스A_7[팀1 결과],Y$32,챔스A_7[팀1],표2_46[[#This Row],[팀]])+COUNTIFS(챔스A_7[팀2 결과],Y$32,챔스A_7[팀2],표2_46[[#This Row],[팀]])</f>
        <v>1</v>
      </c>
      <c r="Z36" s="1">
        <f>COUNTIFS(챔스A_7[팀1 결과],Z$32,챔스A_7[팀1],표2_46[[#This Row],[팀]])+COUNTIFS(챔스A_7[팀2 결과],Z$32,챔스A_7[팀2],표2_46[[#This Row],[팀]])</f>
        <v>3</v>
      </c>
      <c r="AA36" s="1">
        <f>SUMIF(챔스A_7[팀1],표2_46[[#This Row],[팀]],챔스A_7[팀1 S])+SUMIF(챔스A_7[팀2],표2_46[[#This Row],[팀]],챔스A_7[팀2 S])</f>
        <v>10</v>
      </c>
      <c r="AB36" s="1">
        <f>SUMIF(챔스A_7[팀1],표2_46[[#This Row],[팀]],챔스A_7[팀2 S])+SUMIF(챔스A_7[팀2],표2_46[[#This Row],[팀]],챔스A_7[팀1 S])</f>
        <v>18</v>
      </c>
      <c r="AC36" s="1">
        <f>표2_46[[#This Row],[득점]]-표2_46[[#This Row],[실점]]</f>
        <v>-8</v>
      </c>
      <c r="AD36" s="1">
        <f>표2_46[[#This Row],[승]]*3+표2_46[[#This Row],[무]]</f>
        <v>7</v>
      </c>
    </row>
    <row r="37" spans="15:30" ht="29.95" customHeight="1" x14ac:dyDescent="0.3">
      <c r="O37" s="19" t="str">
        <f t="shared" si="0"/>
        <v>패</v>
      </c>
      <c r="P37" s="6" t="str">
        <f>V29</f>
        <v>첼시</v>
      </c>
      <c r="Q37" s="20">
        <v>2</v>
      </c>
      <c r="R37" s="12">
        <v>4</v>
      </c>
      <c r="S37" s="6" t="str">
        <f>V30</f>
        <v>ATM</v>
      </c>
      <c r="T37" s="13" t="str">
        <f t="shared" si="1"/>
        <v>승</v>
      </c>
      <c r="V37" t="s">
        <v>57</v>
      </c>
      <c r="W37" s="1">
        <f>표2_46[[#This Row],[승]]+표2_46[[#This Row],[무]]+표2_46[[#This Row],[패]]</f>
        <v>6</v>
      </c>
      <c r="X37" s="1">
        <f>COUNTIFS(챔스A_7[팀1 결과],X$32,챔스A_7[팀1],표2_46[[#This Row],[팀]])+COUNTIFS(챔스A_7[팀2 결과],X$32,챔스A_7[팀2],표2_46[[#This Row],[팀]])</f>
        <v>5</v>
      </c>
      <c r="Y37" s="1">
        <f>COUNTIFS(챔스A_7[팀1 결과],Y$32,챔스A_7[팀1],표2_46[[#This Row],[팀]])+COUNTIFS(챔스A_7[팀2 결과],Y$32,챔스A_7[팀2],표2_46[[#This Row],[팀]])</f>
        <v>1</v>
      </c>
      <c r="Z37" s="1">
        <f>COUNTIFS(챔스A_7[팀1 결과],Z$32,챔스A_7[팀1],표2_46[[#This Row],[팀]])+COUNTIFS(챔스A_7[팀2 결과],Z$32,챔스A_7[팀2],표2_46[[#This Row],[팀]])</f>
        <v>0</v>
      </c>
      <c r="AA37" s="1">
        <f>SUMIF(챔스A_7[팀1],표2_46[[#This Row],[팀]],챔스A_7[팀1 S])+SUMIF(챔스A_7[팀2],표2_46[[#This Row],[팀]],챔스A_7[팀2 S])</f>
        <v>30</v>
      </c>
      <c r="AB37" s="1">
        <f>SUMIF(챔스A_7[팀1],표2_46[[#This Row],[팀]],챔스A_7[팀2 S])+SUMIF(챔스A_7[팀2],표2_46[[#This Row],[팀]],챔스A_7[팀1 S])</f>
        <v>10</v>
      </c>
      <c r="AC37" s="1">
        <f>표2_46[[#This Row],[득점]]-표2_46[[#This Row],[실점]]</f>
        <v>20</v>
      </c>
      <c r="AD37" s="1">
        <f>표2_46[[#This Row],[승]]*3+표2_46[[#This Row],[무]]</f>
        <v>16</v>
      </c>
    </row>
    <row r="38" spans="15:30" ht="29.95" customHeight="1" x14ac:dyDescent="0.3">
      <c r="O38" s="21" t="str">
        <f t="shared" si="0"/>
        <v>승</v>
      </c>
      <c r="P38" s="7" t="str">
        <f>V29</f>
        <v>첼시</v>
      </c>
      <c r="Q38" s="22">
        <v>5</v>
      </c>
      <c r="R38" s="14">
        <v>3</v>
      </c>
      <c r="S38" s="7" t="str">
        <f>V30</f>
        <v>ATM</v>
      </c>
      <c r="T38" s="15" t="str">
        <f t="shared" si="1"/>
        <v>패</v>
      </c>
    </row>
    <row r="39" spans="15:30" ht="29.95" customHeight="1" thickBot="1" x14ac:dyDescent="0.35">
      <c r="X39" s="1" t="s">
        <v>4</v>
      </c>
      <c r="Y39" s="1" t="s">
        <v>2</v>
      </c>
      <c r="Z39" s="1" t="s">
        <v>10</v>
      </c>
    </row>
    <row r="40" spans="15:30" ht="29.95" customHeight="1" thickBot="1" x14ac:dyDescent="0.35">
      <c r="O40" s="230" t="s">
        <v>68</v>
      </c>
      <c r="P40" s="231"/>
      <c r="Q40" s="231"/>
      <c r="R40" s="231"/>
      <c r="S40" s="231"/>
      <c r="T40" s="232"/>
      <c r="V40" s="1" t="s">
        <v>34</v>
      </c>
      <c r="W40" s="1" t="s">
        <v>32</v>
      </c>
      <c r="X40" s="1" t="s">
        <v>3</v>
      </c>
      <c r="Y40" s="1" t="s">
        <v>1</v>
      </c>
      <c r="Z40" s="1" t="s">
        <v>9</v>
      </c>
      <c r="AA40" s="1" t="s">
        <v>25</v>
      </c>
      <c r="AB40" s="1" t="s">
        <v>27</v>
      </c>
      <c r="AC40" s="1" t="s">
        <v>29</v>
      </c>
      <c r="AD40" s="1" t="s">
        <v>31</v>
      </c>
    </row>
    <row r="41" spans="15:30" ht="29.95" customHeight="1" x14ac:dyDescent="0.3">
      <c r="O41" s="156" t="s">
        <v>19</v>
      </c>
      <c r="P41" s="10" t="s">
        <v>20</v>
      </c>
      <c r="Q41" s="157" t="s">
        <v>21</v>
      </c>
      <c r="R41" s="9" t="s">
        <v>22</v>
      </c>
      <c r="S41" s="10" t="s">
        <v>23</v>
      </c>
      <c r="T41" s="11" t="s">
        <v>24</v>
      </c>
      <c r="V41" t="s">
        <v>58</v>
      </c>
      <c r="W41" s="1">
        <f>표2_4681015[[#This Row],[승]]+표2_4681015[[#This Row],[무]]+표2_4681015[[#This Row],[패]]</f>
        <v>2</v>
      </c>
      <c r="X41" s="1">
        <f>COUNTIFS(챔스A_791118[팀1 결과],X$39,챔스A_791118[팀1],표2_4681015[[#This Row],[팀]])+COUNTIFS(챔스A_791118[팀2 결과],X$39,챔스A_791118[팀2],표2_4681015[[#This Row],[팀]])</f>
        <v>0</v>
      </c>
      <c r="Y41" s="1">
        <f>COUNTIFS(챔스A_791118[팀1 결과],Y$39,챔스A_791118[팀1],표2_4681015[[#This Row],[팀]])+COUNTIFS(챔스A_791118[팀2 결과],Y$39,챔스A_791118[팀2],표2_4681015[[#This Row],[팀]])</f>
        <v>0</v>
      </c>
      <c r="Z41" s="1">
        <f>COUNTIFS(챔스A_791118[팀1 결과],Z$39,챔스A_791118[팀1],표2_4681015[[#This Row],[팀]])+COUNTIFS(챔스A_791118[팀2 결과],Z$39,챔스A_791118[팀2],표2_4681015[[#This Row],[팀]])</f>
        <v>2</v>
      </c>
      <c r="AA41" s="1">
        <f>SUMIF(챔스A_791118[팀1],표2_4681015[[#This Row],[팀]],챔스A_791118[팀1 S])+SUMIF(챔스A_791118[팀2],표2_4681015[[#This Row],[팀]],챔스A_791118[팀2 S])</f>
        <v>1</v>
      </c>
      <c r="AB41" s="1">
        <f>SUMIF(챔스A_791118[팀1],표2_4681015[[#This Row],[팀]],챔스A_791118[팀2 S])+SUMIF(챔스A_791118[팀2],표2_4681015[[#This Row],[팀]],챔스A_791118[팀1 S])</f>
        <v>6</v>
      </c>
      <c r="AC41" s="1">
        <f>표2_4681015[[#This Row],[득점]]-표2_4681015[[#This Row],[실점]]</f>
        <v>-5</v>
      </c>
      <c r="AD41" s="1">
        <f>표2_4681015[[#This Row],[승]]*3+표2_4681015[[#This Row],[무]]</f>
        <v>0</v>
      </c>
    </row>
    <row r="42" spans="15:30" ht="29.95" customHeight="1" x14ac:dyDescent="0.3">
      <c r="O42" s="21" t="str">
        <f>IF(Q42="","",IF(Q42&gt;R42,"승",IF(Q42=R42,"무",IF(Q42&lt;R42,"패",""))))</f>
        <v>승</v>
      </c>
      <c r="P42" s="7" t="str">
        <f>V34</f>
        <v>맨유</v>
      </c>
      <c r="Q42" s="22">
        <v>6</v>
      </c>
      <c r="R42" s="14">
        <v>0</v>
      </c>
      <c r="S42" s="7" t="str">
        <f>V35</f>
        <v>아우크스부르크</v>
      </c>
      <c r="T42" s="15" t="str">
        <f>IF(O42="","",IF(O42="무","무",IF(O42="승","패","승")))</f>
        <v>패</v>
      </c>
      <c r="V42" t="s">
        <v>18</v>
      </c>
      <c r="W42" s="1">
        <f>표2_4681015[[#This Row],[승]]+표2_4681015[[#This Row],[무]]+표2_4681015[[#This Row],[패]]</f>
        <v>4</v>
      </c>
      <c r="X42" s="1">
        <f>COUNTIFS(챔스A_791118[팀1 결과],X$39,챔스A_791118[팀1],표2_4681015[[#This Row],[팀]])+COUNTIFS(챔스A_791118[팀2 결과],X$39,챔스A_791118[팀2],표2_4681015[[#This Row],[팀]])</f>
        <v>4</v>
      </c>
      <c r="Y42" s="1">
        <f>COUNTIFS(챔스A_791118[팀1 결과],Y$39,챔스A_791118[팀1],표2_4681015[[#This Row],[팀]])+COUNTIFS(챔스A_791118[팀2 결과],Y$39,챔스A_791118[팀2],표2_4681015[[#This Row],[팀]])</f>
        <v>0</v>
      </c>
      <c r="Z42" s="1">
        <f>COUNTIFS(챔스A_791118[팀1 결과],Z$39,챔스A_791118[팀1],표2_4681015[[#This Row],[팀]])+COUNTIFS(챔스A_791118[팀2 결과],Z$39,챔스A_791118[팀2],표2_4681015[[#This Row],[팀]])</f>
        <v>0</v>
      </c>
      <c r="AA42" s="1">
        <f>SUMIF(챔스A_791118[팀1],표2_4681015[[#This Row],[팀]],챔스A_791118[팀1 S])+SUMIF(챔스A_791118[팀2],표2_4681015[[#This Row],[팀]],챔스A_791118[팀2 S])</f>
        <v>15</v>
      </c>
      <c r="AB42" s="1">
        <f>SUMIF(챔스A_791118[팀1],표2_4681015[[#This Row],[팀]],챔스A_791118[팀2 S])+SUMIF(챔스A_791118[팀2],표2_4681015[[#This Row],[팀]],챔스A_791118[팀1 S])</f>
        <v>7</v>
      </c>
      <c r="AC42" s="1">
        <f>표2_4681015[[#This Row],[득점]]-표2_4681015[[#This Row],[실점]]</f>
        <v>8</v>
      </c>
      <c r="AD42" s="1">
        <f>표2_4681015[[#This Row],[승]]*3+표2_4681015[[#This Row],[무]]</f>
        <v>12</v>
      </c>
    </row>
    <row r="43" spans="15:30" ht="29.95" customHeight="1" x14ac:dyDescent="0.3">
      <c r="O43" s="24" t="str">
        <f t="shared" ref="O43:O48" si="2">IF(Q43="","",IF(Q43&gt;R43,"승",IF(Q43=R43,"무",IF(Q43&lt;R43,"패",""))))</f>
        <v>승</v>
      </c>
      <c r="P43" s="17" t="str">
        <f>V34</f>
        <v>맨유</v>
      </c>
      <c r="Q43" s="25">
        <v>3</v>
      </c>
      <c r="R43" s="16">
        <v>1</v>
      </c>
      <c r="S43" s="17" t="str">
        <f>V35</f>
        <v>아우크스부르크</v>
      </c>
      <c r="T43" s="18" t="str">
        <f t="shared" ref="T43:T48" si="3">IF(O43="","",IF(O43="무","무",IF(O43="승","패","승")))</f>
        <v>패</v>
      </c>
      <c r="V43" t="s">
        <v>41</v>
      </c>
      <c r="W43" s="1">
        <f>표2_4681015[[#This Row],[승]]+표2_4681015[[#This Row],[무]]+표2_4681015[[#This Row],[패]]</f>
        <v>2</v>
      </c>
      <c r="X43" s="1">
        <f>COUNTIFS(챔스A_791118[팀1 결과],X$39,챔스A_791118[팀1],표2_4681015[[#This Row],[팀]])+COUNTIFS(챔스A_791118[팀2 결과],X$39,챔스A_791118[팀2],표2_4681015[[#This Row],[팀]])</f>
        <v>0</v>
      </c>
      <c r="Y43" s="1">
        <f>COUNTIFS(챔스A_791118[팀1 결과],Y$39,챔스A_791118[팀1],표2_4681015[[#This Row],[팀]])+COUNTIFS(챔스A_791118[팀2 결과],Y$39,챔스A_791118[팀2],표2_4681015[[#This Row],[팀]])</f>
        <v>0</v>
      </c>
      <c r="Z43" s="1">
        <f>COUNTIFS(챔스A_791118[팀1 결과],Z$39,챔스A_791118[팀1],표2_4681015[[#This Row],[팀]])+COUNTIFS(챔스A_791118[팀2 결과],Z$39,챔스A_791118[팀2],표2_4681015[[#This Row],[팀]])</f>
        <v>2</v>
      </c>
      <c r="AA43" s="1">
        <f>SUMIF(챔스A_791118[팀1],표2_4681015[[#This Row],[팀]],챔스A_791118[팀1 S])+SUMIF(챔스A_791118[팀2],표2_4681015[[#This Row],[팀]],챔스A_791118[팀2 S])</f>
        <v>6</v>
      </c>
      <c r="AB43" s="1">
        <f>SUMIF(챔스A_791118[팀1],표2_4681015[[#This Row],[팀]],챔스A_791118[팀2 S])+SUMIF(챔스A_791118[팀2],표2_4681015[[#This Row],[팀]],챔스A_791118[팀1 S])</f>
        <v>9</v>
      </c>
      <c r="AC43" s="1">
        <f>표2_4681015[[#This Row],[득점]]-표2_4681015[[#This Row],[실점]]</f>
        <v>-3</v>
      </c>
      <c r="AD43" s="1">
        <f>표2_4681015[[#This Row],[승]]*3+표2_4681015[[#This Row],[무]]</f>
        <v>0</v>
      </c>
    </row>
    <row r="44" spans="15:30" ht="29.95" customHeight="1" x14ac:dyDescent="0.3">
      <c r="O44" s="152" t="str">
        <f t="shared" si="2"/>
        <v>승</v>
      </c>
      <c r="P44" s="123" t="str">
        <f>V34</f>
        <v>맨유</v>
      </c>
      <c r="Q44" s="153">
        <v>4</v>
      </c>
      <c r="R44" s="154">
        <v>1</v>
      </c>
      <c r="S44" s="123" t="str">
        <f>V36</f>
        <v>토트넘</v>
      </c>
      <c r="T44" s="153" t="str">
        <f t="shared" si="3"/>
        <v>패</v>
      </c>
    </row>
    <row r="45" spans="15:30" ht="29.95" customHeight="1" x14ac:dyDescent="0.3">
      <c r="O45" s="24" t="str">
        <f t="shared" si="2"/>
        <v>패</v>
      </c>
      <c r="P45" s="17" t="str">
        <f>V34</f>
        <v>맨유</v>
      </c>
      <c r="Q45" s="25">
        <v>2</v>
      </c>
      <c r="R45" s="16">
        <v>3</v>
      </c>
      <c r="S45" s="17" t="str">
        <f>V36</f>
        <v>토트넘</v>
      </c>
      <c r="T45" s="25" t="str">
        <f t="shared" si="3"/>
        <v>승</v>
      </c>
      <c r="X45" s="1" t="s">
        <v>4</v>
      </c>
      <c r="Y45" s="1" t="s">
        <v>2</v>
      </c>
      <c r="Z45" s="1" t="s">
        <v>10</v>
      </c>
    </row>
    <row r="46" spans="15:30" ht="29.95" customHeight="1" x14ac:dyDescent="0.3">
      <c r="O46" s="152" t="str">
        <f t="shared" si="2"/>
        <v>무</v>
      </c>
      <c r="P46" s="123" t="str">
        <f>V34</f>
        <v>맨유</v>
      </c>
      <c r="Q46" s="153">
        <v>2</v>
      </c>
      <c r="R46" s="154">
        <v>2</v>
      </c>
      <c r="S46" s="123" t="str">
        <f>V37</f>
        <v>도르트문트</v>
      </c>
      <c r="T46" s="155" t="str">
        <f t="shared" si="3"/>
        <v>무</v>
      </c>
      <c r="V46" s="1" t="s">
        <v>34</v>
      </c>
      <c r="W46" s="1" t="s">
        <v>32</v>
      </c>
      <c r="X46" s="1" t="s">
        <v>3</v>
      </c>
      <c r="Y46" s="1" t="s">
        <v>1</v>
      </c>
      <c r="Z46" s="1" t="s">
        <v>9</v>
      </c>
      <c r="AA46" s="1" t="s">
        <v>25</v>
      </c>
      <c r="AB46" s="1" t="s">
        <v>27</v>
      </c>
      <c r="AC46" s="1" t="s">
        <v>29</v>
      </c>
      <c r="AD46" s="1" t="s">
        <v>31</v>
      </c>
    </row>
    <row r="47" spans="15:30" ht="29.95" customHeight="1" x14ac:dyDescent="0.3">
      <c r="O47" s="24" t="str">
        <f t="shared" si="2"/>
        <v>패</v>
      </c>
      <c r="P47" s="17" t="str">
        <f>V34</f>
        <v>맨유</v>
      </c>
      <c r="Q47" s="25">
        <v>2</v>
      </c>
      <c r="R47" s="16">
        <v>6</v>
      </c>
      <c r="S47" s="17" t="str">
        <f>V37</f>
        <v>도르트문트</v>
      </c>
      <c r="T47" s="18" t="str">
        <f t="shared" si="3"/>
        <v>승</v>
      </c>
      <c r="V47" t="s">
        <v>43</v>
      </c>
      <c r="W47" s="1">
        <f>표2_46810[[#This Row],[승]]+표2_46810[[#This Row],[무]]+표2_46810[[#This Row],[패]]</f>
        <v>0</v>
      </c>
      <c r="X47" s="1">
        <f>COUNTIFS(챔스A_7911[팀1 결과],X$45,챔스A_7911[팀1],표2_46810[[#This Row],[팀]])+COUNTIFS(챔스A_7911[팀2 결과],X$45,챔스A_7911[팀2],표2_46810[[#This Row],[팀]])</f>
        <v>0</v>
      </c>
      <c r="Y47" s="1">
        <f>COUNTIFS(챔스A_7911[팀1 결과],Y$45,챔스A_7911[팀1],표2_46810[[#This Row],[팀]])+COUNTIFS(챔스A_7911[팀2 결과],Y$45,챔스A_7911[팀2],표2_46810[[#This Row],[팀]])</f>
        <v>0</v>
      </c>
      <c r="Z47" s="1">
        <f>COUNTIFS(챔스A_7911[팀1 결과],Z$45,챔스A_7911[팀1],표2_46810[[#This Row],[팀]])+COUNTIFS(챔스A_7911[팀2 결과],Z$45,챔스A_7911[팀2],표2_46810[[#This Row],[팀]])</f>
        <v>0</v>
      </c>
      <c r="AA47" s="1">
        <f>SUMIF(챔스A_7911[팀1],표2_46810[[#This Row],[팀]],챔스A_7911[팀1 S])+SUMIF(챔스A_7911[팀2],표2_46810[[#This Row],[팀]],챔스A_7911[팀2 S])</f>
        <v>0</v>
      </c>
      <c r="AB47" s="1">
        <f>SUMIF(챔스A_7911[팀1],표2_46810[[#This Row],[팀]],챔스A_7911[팀2 S])+SUMIF(챔스A_7911[팀2],표2_46810[[#This Row],[팀]],챔스A_7911[팀1 S])</f>
        <v>0</v>
      </c>
      <c r="AC47" s="1">
        <f>표2_46810[[#This Row],[득점]]-표2_46810[[#This Row],[실점]]</f>
        <v>0</v>
      </c>
      <c r="AD47" s="1">
        <f>표2_46810[[#This Row],[승]]*3+표2_46810[[#This Row],[무]]</f>
        <v>0</v>
      </c>
    </row>
    <row r="48" spans="15:30" ht="29.95" customHeight="1" x14ac:dyDescent="0.3">
      <c r="O48" s="152" t="str">
        <f t="shared" si="2"/>
        <v>패</v>
      </c>
      <c r="P48" s="123" t="str">
        <f>V35</f>
        <v>아우크스부르크</v>
      </c>
      <c r="Q48" s="153">
        <v>0</v>
      </c>
      <c r="R48" s="154">
        <v>2</v>
      </c>
      <c r="S48" s="123" t="str">
        <f>V36</f>
        <v>토트넘</v>
      </c>
      <c r="T48" s="153" t="str">
        <f t="shared" si="3"/>
        <v>승</v>
      </c>
      <c r="V48" t="s">
        <v>39</v>
      </c>
      <c r="W48" s="1">
        <f>표2_46810[[#This Row],[승]]+표2_46810[[#This Row],[무]]+표2_46810[[#This Row],[패]]</f>
        <v>0</v>
      </c>
      <c r="X48" s="1">
        <f>COUNTIFS(챔스A_7911[팀1 결과],X$45,챔스A_7911[팀1],표2_46810[[#This Row],[팀]])+COUNTIFS(챔스A_7911[팀2 결과],X$45,챔스A_7911[팀2],표2_46810[[#This Row],[팀]])</f>
        <v>0</v>
      </c>
      <c r="Y48" s="1">
        <f>COUNTIFS(챔스A_7911[팀1 결과],Y$45,챔스A_7911[팀1],표2_46810[[#This Row],[팀]])+COUNTIFS(챔스A_7911[팀2 결과],Y$45,챔스A_7911[팀2],표2_46810[[#This Row],[팀]])</f>
        <v>0</v>
      </c>
      <c r="Z48" s="1">
        <f>COUNTIFS(챔스A_7911[팀1 결과],Z$45,챔스A_7911[팀1],표2_46810[[#This Row],[팀]])+COUNTIFS(챔스A_7911[팀2 결과],Z$45,챔스A_7911[팀2],표2_46810[[#This Row],[팀]])</f>
        <v>0</v>
      </c>
      <c r="AA48" s="1">
        <f>SUMIF(챔스A_7911[팀1],표2_46810[[#This Row],[팀]],챔스A_7911[팀1 S])+SUMIF(챔스A_7911[팀2],표2_46810[[#This Row],[팀]],챔스A_7911[팀2 S])</f>
        <v>0</v>
      </c>
      <c r="AB48" s="1">
        <f>SUMIF(챔스A_7911[팀1],표2_46810[[#This Row],[팀]],챔스A_7911[팀2 S])+SUMIF(챔스A_7911[팀2],표2_46810[[#This Row],[팀]],챔스A_7911[팀1 S])</f>
        <v>0</v>
      </c>
      <c r="AC48" s="1">
        <f>표2_46810[[#This Row],[득점]]-표2_46810[[#This Row],[실점]]</f>
        <v>0</v>
      </c>
      <c r="AD48" s="1">
        <f>표2_46810[[#This Row],[승]]*3+표2_46810[[#This Row],[무]]</f>
        <v>0</v>
      </c>
    </row>
    <row r="49" spans="15:30" ht="29.95" customHeight="1" x14ac:dyDescent="0.3">
      <c r="O49" s="148" t="str">
        <f>IF(Q49="","",IF(Q49&gt;R49,"승",IF(Q49=R49,"무",IF(Q49&lt;R49,"패",""))))</f>
        <v>무</v>
      </c>
      <c r="P49" s="149" t="str">
        <f>V35</f>
        <v>아우크스부르크</v>
      </c>
      <c r="Q49" s="150">
        <v>1</v>
      </c>
      <c r="R49" s="151">
        <v>1</v>
      </c>
      <c r="S49" s="149" t="str">
        <f>V36</f>
        <v>토트넘</v>
      </c>
      <c r="T49" s="150" t="str">
        <f>IF(O49="","",IF(O49="무","무",IF(O49="승","패","승")))</f>
        <v>무</v>
      </c>
      <c r="V49" t="s">
        <v>59</v>
      </c>
      <c r="W49" s="1">
        <f>표2_46810[[#This Row],[승]]+표2_46810[[#This Row],[무]]+표2_46810[[#This Row],[패]]</f>
        <v>0</v>
      </c>
      <c r="X49" s="1">
        <f>COUNTIFS(챔스A_7911[팀1 결과],X$45,챔스A_7911[팀1],표2_46810[[#This Row],[팀]])+COUNTIFS(챔스A_7911[팀2 결과],X$45,챔스A_7911[팀2],표2_46810[[#This Row],[팀]])</f>
        <v>0</v>
      </c>
      <c r="Y49" s="1">
        <f>COUNTIFS(챔스A_7911[팀1 결과],Y$45,챔스A_7911[팀1],표2_46810[[#This Row],[팀]])+COUNTIFS(챔스A_7911[팀2 결과],Y$45,챔스A_7911[팀2],표2_46810[[#This Row],[팀]])</f>
        <v>0</v>
      </c>
      <c r="Z49" s="1">
        <f>COUNTIFS(챔스A_7911[팀1 결과],Z$45,챔스A_7911[팀1],표2_46810[[#This Row],[팀]])+COUNTIFS(챔스A_7911[팀2 결과],Z$45,챔스A_7911[팀2],표2_46810[[#This Row],[팀]])</f>
        <v>0</v>
      </c>
      <c r="AA49" s="1">
        <f>SUMIF(챔스A_7911[팀1],표2_46810[[#This Row],[팀]],챔스A_7911[팀1 S])+SUMIF(챔스A_7911[팀2],표2_46810[[#This Row],[팀]],챔스A_7911[팀2 S])</f>
        <v>0</v>
      </c>
      <c r="AB49" s="1">
        <f>SUMIF(챔스A_7911[팀1],표2_46810[[#This Row],[팀]],챔스A_7911[팀2 S])+SUMIF(챔스A_7911[팀2],표2_46810[[#This Row],[팀]],챔스A_7911[팀1 S])</f>
        <v>0</v>
      </c>
      <c r="AC49" s="1">
        <f>표2_46810[[#This Row],[득점]]-표2_46810[[#This Row],[실점]]</f>
        <v>0</v>
      </c>
      <c r="AD49" s="1">
        <f>표2_46810[[#This Row],[승]]*3+표2_46810[[#This Row],[무]]</f>
        <v>0</v>
      </c>
    </row>
    <row r="50" spans="15:30" ht="29.95" customHeight="1" x14ac:dyDescent="0.3">
      <c r="O50" s="19" t="str">
        <f>IF(Q50="","",IF(Q50&gt;R50,"승",IF(Q50=R50,"무",IF(Q50&lt;R50,"패",""))))</f>
        <v>패</v>
      </c>
      <c r="P50" s="6" t="str">
        <f>V35</f>
        <v>아우크스부르크</v>
      </c>
      <c r="Q50" s="20">
        <v>2</v>
      </c>
      <c r="R50" s="12">
        <v>5</v>
      </c>
      <c r="S50" s="6" t="str">
        <f>V37</f>
        <v>도르트문트</v>
      </c>
      <c r="T50" s="20" t="str">
        <f>IF(O50="","",IF(O50="무","무",IF(O50="승","패","승")))</f>
        <v>승</v>
      </c>
    </row>
    <row r="51" spans="15:30" ht="29.95" customHeight="1" x14ac:dyDescent="0.3">
      <c r="O51" s="148" t="str">
        <f>IF(Q51="","",IF(Q51&gt;R51,"승",IF(Q51=R51,"무",IF(Q51&lt;R51,"패",""))))</f>
        <v>패</v>
      </c>
      <c r="P51" s="149" t="str">
        <f>V35</f>
        <v>아우크스부르크</v>
      </c>
      <c r="Q51" s="150">
        <v>1</v>
      </c>
      <c r="R51" s="151">
        <v>6</v>
      </c>
      <c r="S51" s="149" t="str">
        <f>V37</f>
        <v>도르트문트</v>
      </c>
      <c r="T51" s="150" t="str">
        <f>IF(O51="","",IF(O51="무","무",IF(O51="승","패","승")))</f>
        <v>승</v>
      </c>
    </row>
    <row r="52" spans="15:30" ht="29.95" customHeight="1" x14ac:dyDescent="0.3">
      <c r="O52" s="19" t="str">
        <f>IF(Q52="","",IF(Q52&gt;R52,"승",IF(Q52=R52,"무",IF(Q52&lt;R52,"패",""))))</f>
        <v>패</v>
      </c>
      <c r="P52" s="6" t="str">
        <f>V36</f>
        <v>토트넘</v>
      </c>
      <c r="Q52" s="20">
        <v>2</v>
      </c>
      <c r="R52" s="12">
        <v>6</v>
      </c>
      <c r="S52" s="6" t="str">
        <f>V37</f>
        <v>도르트문트</v>
      </c>
      <c r="T52" s="13" t="str">
        <f>IF(O52="","",IF(O52="무","무",IF(O52="승","패","승")))</f>
        <v>승</v>
      </c>
    </row>
    <row r="53" spans="15:30" ht="29.95" customHeight="1" x14ac:dyDescent="0.3">
      <c r="O53" s="21" t="str">
        <f>IF(Q53="","",IF(Q53&gt;R53,"승",IF(Q53=R53,"무",IF(Q53&lt;R53,"패",""))))</f>
        <v>패</v>
      </c>
      <c r="P53" s="7" t="str">
        <f>V36</f>
        <v>토트넘</v>
      </c>
      <c r="Q53" s="22">
        <v>1</v>
      </c>
      <c r="R53" s="14">
        <v>5</v>
      </c>
      <c r="S53" s="7" t="str">
        <f>V37</f>
        <v>도르트문트</v>
      </c>
      <c r="T53" s="15" t="str">
        <f>IF(O53="","",IF(O53="무","무",IF(O53="승","패","승")))</f>
        <v>승</v>
      </c>
    </row>
    <row r="54" spans="15:30" ht="29.95" customHeight="1" thickBot="1" x14ac:dyDescent="0.35"/>
    <row r="55" spans="15:30" ht="29.95" customHeight="1" thickBot="1" x14ac:dyDescent="0.35">
      <c r="O55" s="230" t="s">
        <v>69</v>
      </c>
      <c r="P55" s="231"/>
      <c r="Q55" s="231"/>
      <c r="R55" s="231"/>
      <c r="S55" s="231"/>
      <c r="T55" s="232"/>
    </row>
    <row r="56" spans="15:30" ht="29.95" customHeight="1" x14ac:dyDescent="0.3">
      <c r="O56" s="156" t="s">
        <v>19</v>
      </c>
      <c r="P56" s="10" t="s">
        <v>20</v>
      </c>
      <c r="Q56" s="157" t="s">
        <v>21</v>
      </c>
      <c r="R56" s="9" t="s">
        <v>22</v>
      </c>
      <c r="S56" s="10" t="s">
        <v>23</v>
      </c>
      <c r="T56" s="11" t="s">
        <v>24</v>
      </c>
    </row>
    <row r="57" spans="15:30" ht="29.95" customHeight="1" x14ac:dyDescent="0.3">
      <c r="O57" s="21" t="str">
        <f t="shared" ref="O57:O62" si="4">IF(Q57="","",IF(Q57&gt;R57,"승",IF(Q57=R57,"무",IF(Q57&lt;R57,"패",""))))</f>
        <v>패</v>
      </c>
      <c r="P57" s="7" t="str">
        <f>V41</f>
        <v>유벤투스</v>
      </c>
      <c r="Q57" s="22">
        <v>0</v>
      </c>
      <c r="R57" s="14">
        <v>4</v>
      </c>
      <c r="S57" s="7" t="str">
        <f>V42</f>
        <v>인테르</v>
      </c>
      <c r="T57" s="15" t="str">
        <f t="shared" ref="T57:T62" si="5">IF(O57="","",IF(O57="무","무",IF(O57="승","패","승")))</f>
        <v>승</v>
      </c>
    </row>
    <row r="58" spans="15:30" ht="29.95" customHeight="1" x14ac:dyDescent="0.3">
      <c r="O58" s="24" t="str">
        <f t="shared" si="4"/>
        <v>패</v>
      </c>
      <c r="P58" s="17" t="str">
        <f>V41</f>
        <v>유벤투스</v>
      </c>
      <c r="Q58" s="25">
        <v>1</v>
      </c>
      <c r="R58" s="16">
        <v>2</v>
      </c>
      <c r="S58" s="17" t="str">
        <f>V42</f>
        <v>인테르</v>
      </c>
      <c r="T58" s="18" t="str">
        <f t="shared" si="5"/>
        <v>승</v>
      </c>
    </row>
    <row r="59" spans="15:30" ht="29.95" customHeight="1" x14ac:dyDescent="0.3">
      <c r="O59" s="152" t="str">
        <f t="shared" si="4"/>
        <v/>
      </c>
      <c r="P59" s="123" t="str">
        <f>V41</f>
        <v>유벤투스</v>
      </c>
      <c r="Q59" s="153"/>
      <c r="R59" s="154"/>
      <c r="S59" s="123" t="str">
        <f>V43</f>
        <v>PSV</v>
      </c>
      <c r="T59" s="153" t="str">
        <f t="shared" si="5"/>
        <v/>
      </c>
    </row>
    <row r="60" spans="15:30" ht="29.95" customHeight="1" x14ac:dyDescent="0.3">
      <c r="O60" s="148" t="str">
        <f t="shared" si="4"/>
        <v/>
      </c>
      <c r="P60" s="149" t="str">
        <f>V41</f>
        <v>유벤투스</v>
      </c>
      <c r="Q60" s="150"/>
      <c r="R60" s="151"/>
      <c r="S60" s="149" t="str">
        <f>V43</f>
        <v>PSV</v>
      </c>
      <c r="T60" s="150" t="str">
        <f t="shared" si="5"/>
        <v/>
      </c>
    </row>
    <row r="61" spans="15:30" ht="29.95" customHeight="1" x14ac:dyDescent="0.3">
      <c r="O61" s="19" t="str">
        <f t="shared" si="4"/>
        <v>승</v>
      </c>
      <c r="P61" s="6" t="str">
        <f>V42</f>
        <v>인테르</v>
      </c>
      <c r="Q61" s="20">
        <v>4</v>
      </c>
      <c r="R61" s="12">
        <v>2</v>
      </c>
      <c r="S61" s="6" t="str">
        <f>V43</f>
        <v>PSV</v>
      </c>
      <c r="T61" s="13" t="str">
        <f t="shared" si="5"/>
        <v>패</v>
      </c>
    </row>
    <row r="62" spans="15:30" ht="29.95" customHeight="1" x14ac:dyDescent="0.3">
      <c r="O62" s="21" t="str">
        <f t="shared" si="4"/>
        <v>승</v>
      </c>
      <c r="P62" s="7" t="str">
        <f>V42</f>
        <v>인테르</v>
      </c>
      <c r="Q62" s="22">
        <v>5</v>
      </c>
      <c r="R62" s="14">
        <v>4</v>
      </c>
      <c r="S62" s="7" t="str">
        <f>V43</f>
        <v>PSV</v>
      </c>
      <c r="T62" s="15" t="str">
        <f t="shared" si="5"/>
        <v>패</v>
      </c>
    </row>
    <row r="63" spans="15:30" ht="29.95" customHeight="1" thickBot="1" x14ac:dyDescent="0.35"/>
    <row r="64" spans="15:30" ht="29.95" customHeight="1" thickBot="1" x14ac:dyDescent="0.35">
      <c r="O64" s="230" t="s">
        <v>70</v>
      </c>
      <c r="P64" s="231"/>
      <c r="Q64" s="231"/>
      <c r="R64" s="231"/>
      <c r="S64" s="231"/>
      <c r="T64" s="232"/>
    </row>
    <row r="65" spans="15:20" ht="29.95" customHeight="1" x14ac:dyDescent="0.3">
      <c r="O65" s="156" t="s">
        <v>19</v>
      </c>
      <c r="P65" s="10" t="s">
        <v>20</v>
      </c>
      <c r="Q65" s="157" t="s">
        <v>21</v>
      </c>
      <c r="R65" s="9" t="s">
        <v>22</v>
      </c>
      <c r="S65" s="10" t="s">
        <v>23</v>
      </c>
      <c r="T65" s="11" t="s">
        <v>24</v>
      </c>
    </row>
    <row r="66" spans="15:20" ht="29.95" customHeight="1" x14ac:dyDescent="0.3">
      <c r="O66" s="21" t="str">
        <f>IF(Q66="","",IF(Q66&gt;R66,"승",IF(Q66=R66,"무",IF(Q66&lt;R66,"패",""))))</f>
        <v/>
      </c>
      <c r="P66" s="7" t="str">
        <f>V47</f>
        <v>뉴캐슬</v>
      </c>
      <c r="Q66" s="22"/>
      <c r="R66" s="14"/>
      <c r="S66" s="7" t="str">
        <f>V48</f>
        <v>뮌헨</v>
      </c>
      <c r="T66" s="15" t="str">
        <f>IF(O66="","",IF(O66="무","무",IF(O66="승","패","승")))</f>
        <v/>
      </c>
    </row>
    <row r="67" spans="15:20" ht="29.95" customHeight="1" x14ac:dyDescent="0.3">
      <c r="O67" s="24" t="str">
        <f t="shared" ref="O67:O70" si="6">IF(Q67="","",IF(Q67&gt;R67,"승",IF(Q67=R67,"무",IF(Q67&lt;R67,"패",""))))</f>
        <v/>
      </c>
      <c r="P67" s="17" t="str">
        <f>V47</f>
        <v>뉴캐슬</v>
      </c>
      <c r="Q67" s="25"/>
      <c r="R67" s="16"/>
      <c r="S67" s="17" t="str">
        <f>V48</f>
        <v>뮌헨</v>
      </c>
      <c r="T67" s="18" t="str">
        <f t="shared" ref="T67:T70" si="7">IF(O67="","",IF(O67="무","무",IF(O67="승","패","승")))</f>
        <v/>
      </c>
    </row>
    <row r="68" spans="15:20" ht="29.95" customHeight="1" x14ac:dyDescent="0.3">
      <c r="O68" s="152" t="str">
        <f t="shared" si="6"/>
        <v/>
      </c>
      <c r="P68" s="123" t="str">
        <f>V47</f>
        <v>뉴캐슬</v>
      </c>
      <c r="Q68" s="153"/>
      <c r="R68" s="154"/>
      <c r="S68" s="123" t="str">
        <f>V49</f>
        <v>비야레알</v>
      </c>
      <c r="T68" s="153" t="str">
        <f t="shared" si="7"/>
        <v/>
      </c>
    </row>
    <row r="69" spans="15:20" ht="29.95" customHeight="1" x14ac:dyDescent="0.3">
      <c r="O69" s="148" t="str">
        <f t="shared" si="6"/>
        <v/>
      </c>
      <c r="P69" s="149" t="str">
        <f>V47</f>
        <v>뉴캐슬</v>
      </c>
      <c r="Q69" s="150"/>
      <c r="R69" s="151"/>
      <c r="S69" s="149" t="str">
        <f>V49</f>
        <v>비야레알</v>
      </c>
      <c r="T69" s="150" t="str">
        <f t="shared" si="7"/>
        <v/>
      </c>
    </row>
    <row r="70" spans="15:20" ht="29.95" customHeight="1" x14ac:dyDescent="0.3">
      <c r="O70" s="19" t="str">
        <f t="shared" si="6"/>
        <v/>
      </c>
      <c r="P70" s="6" t="str">
        <f>V48</f>
        <v>뮌헨</v>
      </c>
      <c r="Q70" s="20"/>
      <c r="R70" s="12"/>
      <c r="S70" s="6" t="str">
        <f>V49</f>
        <v>비야레알</v>
      </c>
      <c r="T70" s="13" t="str">
        <f t="shared" si="7"/>
        <v/>
      </c>
    </row>
    <row r="71" spans="15:20" ht="29.95" customHeight="1" x14ac:dyDescent="0.3">
      <c r="O71" s="21" t="str">
        <f>IF(Q71="","",IF(Q71&gt;R71,"승",IF(Q71=R71,"무",IF(Q71&lt;R71,"패",""))))</f>
        <v/>
      </c>
      <c r="P71" s="7" t="str">
        <f>V48</f>
        <v>뮌헨</v>
      </c>
      <c r="Q71" s="22"/>
      <c r="R71" s="14"/>
      <c r="S71" s="7" t="str">
        <f>V49</f>
        <v>비야레알</v>
      </c>
      <c r="T71" s="15" t="str">
        <f>IF(O71="","",IF(O71="무","무",IF(O71="승","패","승")))</f>
        <v/>
      </c>
    </row>
    <row r="72" spans="15:20" ht="29.95" customHeight="1" x14ac:dyDescent="0.3"/>
    <row r="73" spans="15:20" ht="29.95" customHeight="1" x14ac:dyDescent="0.3"/>
    <row r="74" spans="15:20" ht="29.95" customHeight="1" x14ac:dyDescent="0.3"/>
  </sheetData>
  <mergeCells count="9">
    <mergeCell ref="B21:B24"/>
    <mergeCell ref="D2:M2"/>
    <mergeCell ref="B4:B8"/>
    <mergeCell ref="O64:T64"/>
    <mergeCell ref="O40:T40"/>
    <mergeCell ref="O25:T25"/>
    <mergeCell ref="O55:T55"/>
    <mergeCell ref="B10:B14"/>
    <mergeCell ref="B16:B19"/>
  </mergeCells>
  <phoneticPr fontId="10" type="noConversion"/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6642-6E01-4833-9308-B34948F30B2F}">
  <dimension ref="C2:H19"/>
  <sheetViews>
    <sheetView zoomScale="130" zoomScaleNormal="130" workbookViewId="0">
      <selection activeCell="F15" sqref="F15:F18"/>
    </sheetView>
  </sheetViews>
  <sheetFormatPr defaultRowHeight="15.7" x14ac:dyDescent="0.3"/>
  <cols>
    <col min="4" max="4" width="6" customWidth="1"/>
    <col min="5" max="6" width="16.625" customWidth="1"/>
    <col min="7" max="7" width="26" customWidth="1"/>
    <col min="8" max="8" width="30.25" customWidth="1"/>
  </cols>
  <sheetData>
    <row r="2" spans="3:8" ht="16.399999999999999" thickBot="1" x14ac:dyDescent="0.35">
      <c r="E2" s="104" t="s">
        <v>79</v>
      </c>
      <c r="F2" s="104" t="s">
        <v>81</v>
      </c>
      <c r="G2" s="104" t="s">
        <v>80</v>
      </c>
      <c r="H2" s="104" t="s">
        <v>82</v>
      </c>
    </row>
    <row r="3" spans="3:8" s="82" customFormat="1" ht="33.5" customHeight="1" thickTop="1" x14ac:dyDescent="0.3">
      <c r="C3" s="104"/>
      <c r="D3" s="104"/>
      <c r="E3" s="181" t="s">
        <v>85</v>
      </c>
      <c r="F3" s="183"/>
      <c r="G3" s="186"/>
      <c r="H3" s="189"/>
    </row>
    <row r="4" spans="3:8" s="82" customFormat="1" ht="33.5" customHeight="1" x14ac:dyDescent="0.3">
      <c r="C4" s="104"/>
      <c r="D4" s="104"/>
      <c r="E4" s="182"/>
      <c r="F4" s="184"/>
      <c r="G4" s="187"/>
      <c r="H4" s="190"/>
    </row>
    <row r="5" spans="3:8" s="82" customFormat="1" ht="33.5" customHeight="1" x14ac:dyDescent="0.3">
      <c r="D5" s="104"/>
      <c r="E5" s="192" t="s">
        <v>41</v>
      </c>
      <c r="F5" s="184"/>
      <c r="G5" s="187"/>
      <c r="H5" s="190"/>
    </row>
    <row r="6" spans="3:8" s="82" customFormat="1" ht="33.5" customHeight="1" thickBot="1" x14ac:dyDescent="0.35">
      <c r="D6" s="104"/>
      <c r="E6" s="193"/>
      <c r="F6" s="185"/>
      <c r="G6" s="187"/>
      <c r="H6" s="190"/>
    </row>
    <row r="7" spans="3:8" s="82" customFormat="1" ht="33.5" customHeight="1" x14ac:dyDescent="0.3">
      <c r="D7" s="104"/>
      <c r="E7" s="194" t="s">
        <v>57</v>
      </c>
      <c r="F7" s="196" t="str">
        <f>E9</f>
        <v>맨유</v>
      </c>
      <c r="G7" s="187"/>
      <c r="H7" s="190"/>
    </row>
    <row r="8" spans="3:8" s="82" customFormat="1" ht="33.5" customHeight="1" x14ac:dyDescent="0.3">
      <c r="D8" s="104"/>
      <c r="E8" s="195"/>
      <c r="F8" s="197"/>
      <c r="G8" s="187"/>
      <c r="H8" s="190"/>
    </row>
    <row r="9" spans="3:8" s="82" customFormat="1" ht="33.5" customHeight="1" x14ac:dyDescent="0.3">
      <c r="D9" s="104"/>
      <c r="E9" s="199" t="s">
        <v>44</v>
      </c>
      <c r="F9" s="197"/>
      <c r="G9" s="187"/>
      <c r="H9" s="190"/>
    </row>
    <row r="10" spans="3:8" s="82" customFormat="1" ht="33.5" customHeight="1" thickBot="1" x14ac:dyDescent="0.35">
      <c r="D10" s="104"/>
      <c r="E10" s="200"/>
      <c r="F10" s="198"/>
      <c r="G10" s="188"/>
      <c r="H10" s="190"/>
    </row>
    <row r="11" spans="3:8" s="82" customFormat="1" ht="33.5" customHeight="1" thickTop="1" x14ac:dyDescent="0.3">
      <c r="D11" s="104"/>
      <c r="E11" s="201" t="s">
        <v>43</v>
      </c>
      <c r="F11" s="203" t="str">
        <f>E13</f>
        <v>AT마드리드</v>
      </c>
      <c r="G11" s="205"/>
      <c r="H11" s="190"/>
    </row>
    <row r="12" spans="3:8" s="82" customFormat="1" ht="33.5" customHeight="1" x14ac:dyDescent="0.3">
      <c r="D12" s="104"/>
      <c r="E12" s="202"/>
      <c r="F12" s="203"/>
      <c r="G12" s="205"/>
      <c r="H12" s="190"/>
    </row>
    <row r="13" spans="3:8" s="82" customFormat="1" ht="33.5" customHeight="1" x14ac:dyDescent="0.3">
      <c r="D13" s="104"/>
      <c r="E13" s="207" t="s">
        <v>86</v>
      </c>
      <c r="F13" s="203"/>
      <c r="G13" s="205"/>
      <c r="H13" s="190"/>
    </row>
    <row r="14" spans="3:8" s="82" customFormat="1" ht="33.5" customHeight="1" thickBot="1" x14ac:dyDescent="0.35">
      <c r="D14" s="104"/>
      <c r="E14" s="208"/>
      <c r="F14" s="204"/>
      <c r="G14" s="205"/>
      <c r="H14" s="190"/>
    </row>
    <row r="15" spans="3:8" s="82" customFormat="1" ht="33.5" customHeight="1" x14ac:dyDescent="0.3">
      <c r="D15" s="104"/>
      <c r="E15" s="209" t="s">
        <v>87</v>
      </c>
      <c r="F15" s="211" t="str">
        <f>E15</f>
        <v>인터밀란</v>
      </c>
      <c r="G15" s="205"/>
      <c r="H15" s="190"/>
    </row>
    <row r="16" spans="3:8" s="82" customFormat="1" ht="33.5" customHeight="1" x14ac:dyDescent="0.3">
      <c r="D16" s="104"/>
      <c r="E16" s="210"/>
      <c r="F16" s="212"/>
      <c r="G16" s="205"/>
      <c r="H16" s="190"/>
    </row>
    <row r="17" spans="4:8" s="82" customFormat="1" ht="33.5" customHeight="1" x14ac:dyDescent="0.3">
      <c r="D17" s="104"/>
      <c r="E17" s="214" t="s">
        <v>59</v>
      </c>
      <c r="F17" s="212"/>
      <c r="G17" s="205"/>
      <c r="H17" s="190"/>
    </row>
    <row r="18" spans="4:8" s="82" customFormat="1" ht="33.5" customHeight="1" thickBot="1" x14ac:dyDescent="0.35">
      <c r="D18" s="104"/>
      <c r="E18" s="215"/>
      <c r="F18" s="213"/>
      <c r="G18" s="206"/>
      <c r="H18" s="191"/>
    </row>
    <row r="19" spans="4:8" ht="16.399999999999999" thickTop="1" x14ac:dyDescent="0.3"/>
  </sheetData>
  <mergeCells count="15">
    <mergeCell ref="E3:E4"/>
    <mergeCell ref="F3:F6"/>
    <mergeCell ref="G3:G10"/>
    <mergeCell ref="H3:H18"/>
    <mergeCell ref="E5:E6"/>
    <mergeCell ref="E7:E8"/>
    <mergeCell ref="F7:F10"/>
    <mergeCell ref="E9:E10"/>
    <mergeCell ref="E11:E12"/>
    <mergeCell ref="F11:F14"/>
    <mergeCell ref="G11:G18"/>
    <mergeCell ref="E13:E14"/>
    <mergeCell ref="E15:E16"/>
    <mergeCell ref="F15:F18"/>
    <mergeCell ref="E17:E18"/>
  </mergeCells>
  <phoneticPr fontId="1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CF5F-70DB-4712-945D-9EAD0B33C863}">
  <dimension ref="C2:I19"/>
  <sheetViews>
    <sheetView zoomScale="130" zoomScaleNormal="130" workbookViewId="0">
      <selection activeCell="G7" sqref="E7:G10"/>
    </sheetView>
  </sheetViews>
  <sheetFormatPr defaultRowHeight="15.7" x14ac:dyDescent="0.3"/>
  <cols>
    <col min="4" max="4" width="6" customWidth="1"/>
    <col min="5" max="7" width="16.625" customWidth="1"/>
    <col min="8" max="8" width="26" customWidth="1"/>
    <col min="9" max="9" width="30.25" customWidth="1"/>
  </cols>
  <sheetData>
    <row r="2" spans="3:9" ht="16.399999999999999" thickBot="1" x14ac:dyDescent="0.35">
      <c r="E2" s="104" t="s">
        <v>78</v>
      </c>
      <c r="F2" s="104" t="s">
        <v>79</v>
      </c>
      <c r="G2" s="104" t="s">
        <v>81</v>
      </c>
      <c r="H2" s="104" t="s">
        <v>80</v>
      </c>
      <c r="I2" s="104" t="s">
        <v>82</v>
      </c>
    </row>
    <row r="3" spans="3:9" s="82" customFormat="1" ht="33.5" customHeight="1" thickTop="1" x14ac:dyDescent="0.3">
      <c r="C3" s="104" t="s">
        <v>60</v>
      </c>
      <c r="D3" s="104">
        <v>1</v>
      </c>
      <c r="E3" s="129" t="s">
        <v>39</v>
      </c>
      <c r="F3" s="235" t="str">
        <f>E3</f>
        <v>뮌헨</v>
      </c>
      <c r="G3" s="183"/>
      <c r="H3" s="186"/>
      <c r="I3" s="189"/>
    </row>
    <row r="4" spans="3:9" s="82" customFormat="1" ht="33.5" customHeight="1" x14ac:dyDescent="0.3">
      <c r="C4" s="104"/>
      <c r="D4" s="104" t="s">
        <v>66</v>
      </c>
      <c r="E4" s="128" t="s">
        <v>66</v>
      </c>
      <c r="F4" s="236"/>
      <c r="G4" s="184"/>
      <c r="H4" s="187"/>
      <c r="I4" s="190"/>
    </row>
    <row r="5" spans="3:9" s="82" customFormat="1" ht="33.5" customHeight="1" x14ac:dyDescent="0.3">
      <c r="D5" s="104">
        <v>2</v>
      </c>
      <c r="E5" s="105" t="s">
        <v>43</v>
      </c>
      <c r="F5" s="237" t="str">
        <f>E5</f>
        <v>뉴캐슬</v>
      </c>
      <c r="G5" s="184"/>
      <c r="H5" s="187"/>
      <c r="I5" s="190"/>
    </row>
    <row r="6" spans="3:9" s="82" customFormat="1" ht="33.5" customHeight="1" thickBot="1" x14ac:dyDescent="0.35">
      <c r="D6" s="104">
        <v>3</v>
      </c>
      <c r="E6" s="106" t="s">
        <v>44</v>
      </c>
      <c r="F6" s="238"/>
      <c r="G6" s="185"/>
      <c r="H6" s="187"/>
      <c r="I6" s="190"/>
    </row>
    <row r="7" spans="3:9" s="82" customFormat="1" ht="33.5" customHeight="1" x14ac:dyDescent="0.3">
      <c r="D7" s="104">
        <v>4</v>
      </c>
      <c r="E7" s="107" t="s">
        <v>74</v>
      </c>
      <c r="F7" s="247" t="str">
        <f>E8</f>
        <v>인테르</v>
      </c>
      <c r="G7" s="196" t="str">
        <f>F7</f>
        <v>인테르</v>
      </c>
      <c r="H7" s="187"/>
      <c r="I7" s="190"/>
    </row>
    <row r="8" spans="3:9" s="82" customFormat="1" ht="33.5" customHeight="1" x14ac:dyDescent="0.3">
      <c r="D8" s="104">
        <v>5</v>
      </c>
      <c r="E8" s="108" t="s">
        <v>18</v>
      </c>
      <c r="F8" s="248"/>
      <c r="G8" s="197"/>
      <c r="H8" s="187"/>
      <c r="I8" s="190"/>
    </row>
    <row r="9" spans="3:9" s="82" customFormat="1" ht="33.5" customHeight="1" x14ac:dyDescent="0.3">
      <c r="D9" s="104">
        <v>6</v>
      </c>
      <c r="E9" s="109" t="s">
        <v>40</v>
      </c>
      <c r="F9" s="245" t="str">
        <f>E9</f>
        <v>레버쿠젠</v>
      </c>
      <c r="G9" s="197"/>
      <c r="H9" s="187"/>
      <c r="I9" s="190"/>
    </row>
    <row r="10" spans="3:9" s="82" customFormat="1" ht="33.5" customHeight="1" thickBot="1" x14ac:dyDescent="0.35">
      <c r="D10" s="104">
        <v>7</v>
      </c>
      <c r="E10" s="110" t="s">
        <v>56</v>
      </c>
      <c r="F10" s="246"/>
      <c r="G10" s="198"/>
      <c r="H10" s="188"/>
      <c r="I10" s="190"/>
    </row>
    <row r="11" spans="3:9" s="82" customFormat="1" ht="33.5" customHeight="1" thickTop="1" x14ac:dyDescent="0.3">
      <c r="D11" s="104">
        <v>8</v>
      </c>
      <c r="E11" s="126" t="s">
        <v>57</v>
      </c>
      <c r="F11" s="233" t="str">
        <f>E11</f>
        <v>도르트문트</v>
      </c>
      <c r="G11" s="203" t="str">
        <f>F11</f>
        <v>도르트문트</v>
      </c>
      <c r="H11" s="205"/>
      <c r="I11" s="190"/>
    </row>
    <row r="12" spans="3:9" s="82" customFormat="1" ht="33.5" customHeight="1" x14ac:dyDescent="0.3">
      <c r="D12" s="104" t="s">
        <v>66</v>
      </c>
      <c r="E12" s="127" t="s">
        <v>66</v>
      </c>
      <c r="F12" s="234"/>
      <c r="G12" s="203"/>
      <c r="H12" s="205"/>
      <c r="I12" s="190"/>
    </row>
    <row r="13" spans="3:9" s="82" customFormat="1" ht="33.5" customHeight="1" x14ac:dyDescent="0.3">
      <c r="D13" s="104">
        <v>9</v>
      </c>
      <c r="E13" s="111" t="s">
        <v>58</v>
      </c>
      <c r="F13" s="243" t="str">
        <f>E14</f>
        <v>PSV</v>
      </c>
      <c r="G13" s="203"/>
      <c r="H13" s="205"/>
      <c r="I13" s="190"/>
    </row>
    <row r="14" spans="3:9" s="82" customFormat="1" ht="33.5" customHeight="1" thickBot="1" x14ac:dyDescent="0.35">
      <c r="D14" s="104">
        <v>10</v>
      </c>
      <c r="E14" s="112" t="s">
        <v>41</v>
      </c>
      <c r="F14" s="244"/>
      <c r="G14" s="204"/>
      <c r="H14" s="205"/>
      <c r="I14" s="190"/>
    </row>
    <row r="15" spans="3:9" s="82" customFormat="1" ht="33.5" customHeight="1" x14ac:dyDescent="0.3">
      <c r="D15" s="104">
        <v>11</v>
      </c>
      <c r="E15" s="113" t="s">
        <v>42</v>
      </c>
      <c r="F15" s="241" t="str">
        <f>E16</f>
        <v>비야레알</v>
      </c>
      <c r="G15" s="211" t="str">
        <f>F15</f>
        <v>비야레알</v>
      </c>
      <c r="H15" s="205"/>
      <c r="I15" s="190"/>
    </row>
    <row r="16" spans="3:9" s="82" customFormat="1" ht="33.5" customHeight="1" x14ac:dyDescent="0.3">
      <c r="D16" s="104">
        <v>12</v>
      </c>
      <c r="E16" s="114" t="s">
        <v>59</v>
      </c>
      <c r="F16" s="242"/>
      <c r="G16" s="212"/>
      <c r="H16" s="205"/>
      <c r="I16" s="190"/>
    </row>
    <row r="17" spans="4:9" s="82" customFormat="1" ht="33.5" customHeight="1" x14ac:dyDescent="0.3">
      <c r="D17" s="104">
        <v>13</v>
      </c>
      <c r="E17" s="115" t="s">
        <v>37</v>
      </c>
      <c r="F17" s="239" t="str">
        <f>E17</f>
        <v>토트넘</v>
      </c>
      <c r="G17" s="212"/>
      <c r="H17" s="205"/>
      <c r="I17" s="190"/>
    </row>
    <row r="18" spans="4:9" s="82" customFormat="1" ht="33.5" customHeight="1" thickBot="1" x14ac:dyDescent="0.35">
      <c r="D18" s="104">
        <v>14</v>
      </c>
      <c r="E18" s="116" t="s">
        <v>38</v>
      </c>
      <c r="F18" s="240"/>
      <c r="G18" s="213"/>
      <c r="H18" s="206"/>
      <c r="I18" s="191"/>
    </row>
    <row r="19" spans="4:9" ht="16.399999999999999" thickTop="1" x14ac:dyDescent="0.3"/>
  </sheetData>
  <mergeCells count="15">
    <mergeCell ref="I3:I18"/>
    <mergeCell ref="F11:F12"/>
    <mergeCell ref="F3:F4"/>
    <mergeCell ref="F5:F6"/>
    <mergeCell ref="G3:G6"/>
    <mergeCell ref="G7:G10"/>
    <mergeCell ref="G11:G14"/>
    <mergeCell ref="G15:G18"/>
    <mergeCell ref="H11:H18"/>
    <mergeCell ref="H3:H10"/>
    <mergeCell ref="F17:F18"/>
    <mergeCell ref="F15:F16"/>
    <mergeCell ref="F13:F14"/>
    <mergeCell ref="F9:F10"/>
    <mergeCell ref="F7:F8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내경기 진행상황</vt:lpstr>
      <vt:lpstr>1부리그</vt:lpstr>
      <vt:lpstr>2부리그</vt:lpstr>
      <vt:lpstr>리그테이블 DB</vt:lpstr>
      <vt:lpstr>UCL</vt:lpstr>
      <vt:lpstr>UCL토너먼트</vt:lpstr>
      <vt:lpstr>FA CUP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2026-02-03T11:00:08Z</dcterms:created>
  <dcterms:modified xsi:type="dcterms:W3CDTF">2026-04-22T01:44:48Z</dcterms:modified>
</cp:coreProperties>
</file>