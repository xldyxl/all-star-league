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원영이\Desktop\"/>
    </mc:Choice>
  </mc:AlternateContent>
  <xr:revisionPtr revIDLastSave="0" documentId="13_ncr:1_{AAA27BC6-1CCB-4FF8-9558-1EAFBC48F29F}" xr6:coauthVersionLast="47" xr6:coauthVersionMax="47" xr10:uidLastSave="{00000000-0000-0000-0000-000000000000}"/>
  <bookViews>
    <workbookView xWindow="-114" yWindow="-114" windowWidth="36727" windowHeight="20317" activeTab="2" xr2:uid="{6BFAF7FA-D755-4D26-B6F4-27E06D787CC2}"/>
  </bookViews>
  <sheets>
    <sheet name="Sheet1" sheetId="1" r:id="rId1"/>
    <sheet name="1부리그 " sheetId="5" r:id="rId2"/>
    <sheet name="2부리그" sheetId="3" r:id="rId3"/>
    <sheet name="Sheet3" sheetId="6" r:id="rId4"/>
    <sheet name="챔스리그 조별" sheetId="4" r:id="rId5"/>
    <sheet name="Sheet2" sheetId="2" r:id="rId6"/>
  </sheets>
  <definedNames>
    <definedName name="슬라이서_상대팀">#N/A</definedName>
    <definedName name="슬라이서_팀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3" l="1"/>
  <c r="N19" i="3"/>
  <c r="N20" i="3"/>
  <c r="N21" i="3"/>
  <c r="N22" i="3"/>
  <c r="N17" i="3"/>
  <c r="P5" i="6"/>
  <c r="Q19" i="3"/>
  <c r="P6" i="6"/>
  <c r="O6" i="6"/>
  <c r="Q23" i="3"/>
  <c r="Q24" i="3"/>
  <c r="P12" i="6"/>
  <c r="O12" i="6"/>
  <c r="P13" i="6"/>
  <c r="O13" i="6"/>
  <c r="Q36" i="3"/>
  <c r="P10" i="6"/>
  <c r="O10" i="6"/>
  <c r="Q41" i="3"/>
  <c r="Q43" i="3"/>
  <c r="Q44" i="3"/>
  <c r="Q6" i="2"/>
  <c r="Q7" i="2"/>
  <c r="Q8" i="2"/>
  <c r="Q9" i="2"/>
  <c r="Q10" i="2"/>
  <c r="Q5" i="2"/>
  <c r="P6" i="2"/>
  <c r="P7" i="2"/>
  <c r="P8" i="2"/>
  <c r="P9" i="2"/>
  <c r="P10" i="2"/>
  <c r="P5" i="2"/>
  <c r="O8" i="2"/>
  <c r="N10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1" i="2"/>
  <c r="B30" i="2"/>
  <c r="B29" i="2"/>
  <c r="B28" i="2"/>
  <c r="B27" i="2"/>
  <c r="B26" i="2"/>
  <c r="B25" i="2"/>
  <c r="B24" i="2"/>
  <c r="B23" i="2"/>
  <c r="B22" i="2"/>
  <c r="B21" i="2"/>
  <c r="B20" i="2"/>
  <c r="O9" i="2" s="1"/>
  <c r="B19" i="2"/>
  <c r="B18" i="2"/>
  <c r="B17" i="2"/>
  <c r="B16" i="2"/>
  <c r="B15" i="2"/>
  <c r="B14" i="2"/>
  <c r="B13" i="2"/>
  <c r="B12" i="2"/>
  <c r="B11" i="2"/>
  <c r="B10" i="2"/>
  <c r="B9" i="2"/>
  <c r="M10" i="2" s="1"/>
  <c r="B8" i="2"/>
  <c r="B7" i="2"/>
  <c r="M9" i="2" s="1"/>
  <c r="B6" i="2"/>
  <c r="B5" i="2"/>
  <c r="M8" i="2" s="1"/>
  <c r="B4" i="2"/>
  <c r="M7" i="2" s="1"/>
  <c r="B3" i="2"/>
  <c r="M6" i="2" s="1"/>
  <c r="B2" i="2"/>
  <c r="N5" i="2" s="1"/>
  <c r="B31" i="2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2" i="3"/>
  <c r="Q40" i="3"/>
  <c r="Q37" i="3"/>
  <c r="Q35" i="3"/>
  <c r="Q32" i="3"/>
  <c r="Q31" i="3"/>
  <c r="Q30" i="3"/>
  <c r="Q29" i="3"/>
  <c r="Q27" i="3"/>
  <c r="Q26" i="3"/>
  <c r="Q25" i="3"/>
  <c r="Q22" i="3"/>
  <c r="Q21" i="3"/>
  <c r="Q20" i="3"/>
  <c r="Q17" i="3"/>
  <c r="Q16" i="3"/>
  <c r="Q15" i="3"/>
  <c r="P9" i="6"/>
  <c r="P4" i="6"/>
  <c r="P7" i="6"/>
  <c r="P8" i="6"/>
  <c r="O9" i="6"/>
  <c r="O4" i="6"/>
  <c r="O7" i="6"/>
  <c r="O8" i="6"/>
  <c r="O14" i="5"/>
  <c r="T14" i="5" s="1"/>
  <c r="O13" i="5"/>
  <c r="T13" i="5" s="1"/>
  <c r="O12" i="5"/>
  <c r="T12" i="5" s="1"/>
  <c r="O11" i="5"/>
  <c r="T11" i="5" s="1"/>
  <c r="O10" i="5"/>
  <c r="T10" i="5" s="1"/>
  <c r="O9" i="5"/>
  <c r="T9" i="5" s="1"/>
  <c r="AC8" i="5"/>
  <c r="AB8" i="5"/>
  <c r="O8" i="5"/>
  <c r="T8" i="5" s="1"/>
  <c r="AC7" i="5"/>
  <c r="AB7" i="5"/>
  <c r="O7" i="5"/>
  <c r="T7" i="5" s="1"/>
  <c r="AC6" i="5"/>
  <c r="AB6" i="5"/>
  <c r="O6" i="5"/>
  <c r="T6" i="5" s="1"/>
  <c r="AC5" i="5"/>
  <c r="AB5" i="5"/>
  <c r="O5" i="5"/>
  <c r="T5" i="5" s="1"/>
  <c r="O4" i="5"/>
  <c r="O3" i="5"/>
  <c r="T3" i="5" s="1"/>
  <c r="AD30" i="4"/>
  <c r="AB32" i="4" s="1"/>
  <c r="AA30" i="4"/>
  <c r="Z30" i="4"/>
  <c r="AE30" i="4" s="1"/>
  <c r="AD29" i="4"/>
  <c r="AA29" i="4"/>
  <c r="Z29" i="4"/>
  <c r="AE29" i="4" s="1"/>
  <c r="AD28" i="4"/>
  <c r="AA28" i="4"/>
  <c r="Z28" i="4"/>
  <c r="AE28" i="4" s="1"/>
  <c r="AD27" i="4"/>
  <c r="AA27" i="4"/>
  <c r="Z27" i="4"/>
  <c r="AE27" i="4" s="1"/>
  <c r="AD26" i="4"/>
  <c r="AA26" i="4"/>
  <c r="Z26" i="4"/>
  <c r="AE26" i="4" s="1"/>
  <c r="AD25" i="4"/>
  <c r="AA25" i="4"/>
  <c r="Z25" i="4"/>
  <c r="AE25" i="4" s="1"/>
  <c r="AD24" i="4"/>
  <c r="AA24" i="4"/>
  <c r="Z24" i="4"/>
  <c r="AE24" i="4" s="1"/>
  <c r="AD23" i="4"/>
  <c r="AA23" i="4"/>
  <c r="Z23" i="4"/>
  <c r="AE23" i="4" s="1"/>
  <c r="AD22" i="4"/>
  <c r="AA22" i="4"/>
  <c r="Z22" i="4"/>
  <c r="AE22" i="4" s="1"/>
  <c r="AD21" i="4"/>
  <c r="AA21" i="4"/>
  <c r="Z21" i="4"/>
  <c r="AE21" i="4" s="1"/>
  <c r="AD20" i="4"/>
  <c r="AA20" i="4"/>
  <c r="Z20" i="4"/>
  <c r="AE20" i="4" s="1"/>
  <c r="AD19" i="4"/>
  <c r="AA19" i="4"/>
  <c r="Z19" i="4"/>
  <c r="AE19" i="4" s="1"/>
  <c r="H30" i="4"/>
  <c r="E30" i="4"/>
  <c r="D30" i="4"/>
  <c r="I30" i="4" s="1"/>
  <c r="H29" i="4"/>
  <c r="E29" i="4"/>
  <c r="D29" i="4"/>
  <c r="I29" i="4" s="1"/>
  <c r="H28" i="4"/>
  <c r="E28" i="4"/>
  <c r="D28" i="4"/>
  <c r="I28" i="4" s="1"/>
  <c r="H27" i="4"/>
  <c r="E27" i="4"/>
  <c r="D27" i="4"/>
  <c r="I27" i="4" s="1"/>
  <c r="H26" i="4"/>
  <c r="E26" i="4"/>
  <c r="D26" i="4"/>
  <c r="I26" i="4" s="1"/>
  <c r="H25" i="4"/>
  <c r="E25" i="4"/>
  <c r="D25" i="4"/>
  <c r="I25" i="4" s="1"/>
  <c r="H24" i="4"/>
  <c r="E24" i="4"/>
  <c r="D24" i="4"/>
  <c r="I24" i="4" s="1"/>
  <c r="H23" i="4"/>
  <c r="E23" i="4"/>
  <c r="D23" i="4"/>
  <c r="I23" i="4" s="1"/>
  <c r="H22" i="4"/>
  <c r="E22" i="4"/>
  <c r="D22" i="4"/>
  <c r="I22" i="4" s="1"/>
  <c r="H21" i="4"/>
  <c r="E21" i="4"/>
  <c r="D21" i="4"/>
  <c r="I21" i="4" s="1"/>
  <c r="H20" i="4"/>
  <c r="E20" i="4"/>
  <c r="D20" i="4"/>
  <c r="I20" i="4" s="1"/>
  <c r="H19" i="4"/>
  <c r="E19" i="4"/>
  <c r="D19" i="4"/>
  <c r="I19" i="4" s="1"/>
  <c r="AO24" i="4"/>
  <c r="AL24" i="4"/>
  <c r="AK24" i="4"/>
  <c r="AP24" i="4" s="1"/>
  <c r="AO23" i="4"/>
  <c r="AL23" i="4"/>
  <c r="AK23" i="4"/>
  <c r="AP23" i="4" s="1"/>
  <c r="AO22" i="4"/>
  <c r="AL22" i="4"/>
  <c r="AK22" i="4"/>
  <c r="AP22" i="4" s="1"/>
  <c r="AO21" i="4"/>
  <c r="AL21" i="4"/>
  <c r="AK21" i="4"/>
  <c r="AP21" i="4" s="1"/>
  <c r="AO20" i="4"/>
  <c r="AL20" i="4"/>
  <c r="AK20" i="4"/>
  <c r="AP20" i="4" s="1"/>
  <c r="AO19" i="4"/>
  <c r="AL19" i="4"/>
  <c r="AK19" i="4"/>
  <c r="AP19" i="4" s="1"/>
  <c r="S30" i="4"/>
  <c r="P30" i="4"/>
  <c r="O30" i="4"/>
  <c r="T30" i="4" s="1"/>
  <c r="S29" i="4"/>
  <c r="P29" i="4"/>
  <c r="O29" i="4"/>
  <c r="T29" i="4" s="1"/>
  <c r="S28" i="4"/>
  <c r="P28" i="4"/>
  <c r="O28" i="4"/>
  <c r="T28" i="4" s="1"/>
  <c r="S27" i="4"/>
  <c r="P27" i="4"/>
  <c r="O27" i="4"/>
  <c r="T27" i="4" s="1"/>
  <c r="S26" i="4"/>
  <c r="P26" i="4"/>
  <c r="O26" i="4"/>
  <c r="T26" i="4" s="1"/>
  <c r="S25" i="4"/>
  <c r="P25" i="4"/>
  <c r="O25" i="4"/>
  <c r="T25" i="4" s="1"/>
  <c r="S24" i="4"/>
  <c r="P24" i="4"/>
  <c r="O24" i="4"/>
  <c r="T24" i="4" s="1"/>
  <c r="S23" i="4"/>
  <c r="P23" i="4"/>
  <c r="O23" i="4"/>
  <c r="T23" i="4" s="1"/>
  <c r="S22" i="4"/>
  <c r="P22" i="4"/>
  <c r="O22" i="4"/>
  <c r="T22" i="4" s="1"/>
  <c r="S21" i="4"/>
  <c r="P21" i="4"/>
  <c r="O21" i="4"/>
  <c r="T21" i="4" s="1"/>
  <c r="S20" i="4"/>
  <c r="P20" i="4"/>
  <c r="O20" i="4"/>
  <c r="T20" i="4" s="1"/>
  <c r="S19" i="4"/>
  <c r="P19" i="4"/>
  <c r="O19" i="4"/>
  <c r="T19" i="4" s="1"/>
  <c r="Q35" i="4"/>
  <c r="Q34" i="4"/>
  <c r="Q33" i="4"/>
  <c r="Q32" i="4"/>
  <c r="F32" i="4"/>
  <c r="AJ14" i="4"/>
  <c r="AJ13" i="4"/>
  <c r="AJ12" i="4"/>
  <c r="Y15" i="4"/>
  <c r="Y14" i="4"/>
  <c r="Y13" i="4"/>
  <c r="Y12" i="4"/>
  <c r="N15" i="4"/>
  <c r="N14" i="4"/>
  <c r="N13" i="4"/>
  <c r="N12" i="4"/>
  <c r="C15" i="4"/>
  <c r="C14" i="4"/>
  <c r="C13" i="4"/>
  <c r="C12" i="4"/>
  <c r="O5" i="6" l="1"/>
  <c r="Q28" i="3"/>
  <c r="Q38" i="3"/>
  <c r="Q39" i="3"/>
  <c r="P11" i="6"/>
  <c r="O11" i="6"/>
  <c r="P14" i="6"/>
  <c r="Q18" i="3"/>
  <c r="Q33" i="3"/>
  <c r="O14" i="6"/>
  <c r="Q34" i="3"/>
  <c r="N13" i="6" s="1"/>
  <c r="N9" i="2"/>
  <c r="K9" i="2" s="1"/>
  <c r="O10" i="2"/>
  <c r="N8" i="2"/>
  <c r="K8" i="2" s="1"/>
  <c r="M5" i="2"/>
  <c r="K5" i="2" s="1"/>
  <c r="O7" i="2"/>
  <c r="N7" i="2"/>
  <c r="K7" i="2" s="1"/>
  <c r="O6" i="2"/>
  <c r="N6" i="2"/>
  <c r="K6" i="2" s="1"/>
  <c r="O5" i="2"/>
  <c r="K10" i="2"/>
  <c r="L9" i="2"/>
  <c r="L8" i="2"/>
  <c r="L7" i="2"/>
  <c r="L6" i="2"/>
  <c r="L5" i="2"/>
  <c r="L10" i="2"/>
  <c r="L10" i="6"/>
  <c r="L11" i="6"/>
  <c r="M8" i="6"/>
  <c r="L14" i="6"/>
  <c r="L12" i="6"/>
  <c r="L4" i="6"/>
  <c r="L6" i="6"/>
  <c r="L5" i="6"/>
  <c r="L8" i="6"/>
  <c r="L7" i="6"/>
  <c r="M9" i="6"/>
  <c r="M11" i="6"/>
  <c r="N14" i="6"/>
  <c r="L9" i="6"/>
  <c r="N10" i="6"/>
  <c r="M10" i="6"/>
  <c r="N8" i="6"/>
  <c r="N11" i="6"/>
  <c r="M14" i="6"/>
  <c r="N6" i="6"/>
  <c r="M6" i="6"/>
  <c r="N12" i="6"/>
  <c r="M12" i="6"/>
  <c r="N7" i="6"/>
  <c r="M7" i="6"/>
  <c r="N5" i="6"/>
  <c r="M5" i="6"/>
  <c r="N4" i="6"/>
  <c r="M4" i="6"/>
  <c r="N9" i="6"/>
  <c r="Q13" i="6"/>
  <c r="Q6" i="6"/>
  <c r="Q12" i="6"/>
  <c r="Q7" i="6"/>
  <c r="Q5" i="6"/>
  <c r="Q4" i="6"/>
  <c r="Q9" i="6"/>
  <c r="Q8" i="6"/>
  <c r="Q10" i="6"/>
  <c r="AD7" i="5"/>
  <c r="AD6" i="5"/>
  <c r="AD8" i="5"/>
  <c r="AD5" i="5"/>
  <c r="AA6" i="5"/>
  <c r="Z8" i="5"/>
  <c r="T4" i="5"/>
  <c r="Y5" i="5" s="1"/>
  <c r="AA8" i="5"/>
  <c r="Z5" i="5"/>
  <c r="Z6" i="5"/>
  <c r="Y7" i="5"/>
  <c r="Z7" i="5"/>
  <c r="Y6" i="5"/>
  <c r="AA5" i="5"/>
  <c r="AA7" i="5"/>
  <c r="Y8" i="5"/>
  <c r="AM29" i="4"/>
  <c r="F35" i="4"/>
  <c r="AB35" i="4"/>
  <c r="AB34" i="4"/>
  <c r="AB33" i="4"/>
  <c r="F34" i="4"/>
  <c r="F33" i="4"/>
  <c r="AP12" i="4"/>
  <c r="AO12" i="4"/>
  <c r="AE13" i="4"/>
  <c r="AD13" i="4"/>
  <c r="T13" i="4"/>
  <c r="S13" i="4"/>
  <c r="T12" i="4"/>
  <c r="S12" i="4"/>
  <c r="AM26" i="4"/>
  <c r="AM28" i="4"/>
  <c r="AM27" i="4"/>
  <c r="AP14" i="4"/>
  <c r="AO14" i="4"/>
  <c r="AO13" i="4"/>
  <c r="AP13" i="4"/>
  <c r="AE15" i="4"/>
  <c r="AD15" i="4"/>
  <c r="AE14" i="4"/>
  <c r="AD14" i="4"/>
  <c r="AD12" i="4"/>
  <c r="AE12" i="4"/>
  <c r="T15" i="4"/>
  <c r="S15" i="4"/>
  <c r="T14" i="4"/>
  <c r="S14" i="4"/>
  <c r="I14" i="4"/>
  <c r="H15" i="4"/>
  <c r="I15" i="4"/>
  <c r="H12" i="4"/>
  <c r="I12" i="4"/>
  <c r="H13" i="4"/>
  <c r="I13" i="4"/>
  <c r="H14" i="4"/>
  <c r="AL12" i="4"/>
  <c r="AM12" i="4"/>
  <c r="AN12" i="4"/>
  <c r="AL13" i="4"/>
  <c r="AM13" i="4"/>
  <c r="AN13" i="4"/>
  <c r="AL14" i="4"/>
  <c r="AM14" i="4"/>
  <c r="AN14" i="4"/>
  <c r="AC12" i="4"/>
  <c r="AA12" i="4"/>
  <c r="AC15" i="4"/>
  <c r="AA15" i="4"/>
  <c r="AC13" i="4"/>
  <c r="AB12" i="4"/>
  <c r="AA14" i="4"/>
  <c r="AB14" i="4"/>
  <c r="AB13" i="4"/>
  <c r="AB15" i="4"/>
  <c r="AA13" i="4"/>
  <c r="AC14" i="4"/>
  <c r="R12" i="4"/>
  <c r="P14" i="4"/>
  <c r="P15" i="4"/>
  <c r="Q13" i="4"/>
  <c r="R13" i="4"/>
  <c r="P13" i="4"/>
  <c r="Q14" i="4"/>
  <c r="P12" i="4"/>
  <c r="R15" i="4"/>
  <c r="Q15" i="4"/>
  <c r="Q12" i="4"/>
  <c r="R14" i="4"/>
  <c r="F13" i="4"/>
  <c r="E12" i="4"/>
  <c r="G14" i="4"/>
  <c r="E15" i="4"/>
  <c r="F15" i="4"/>
  <c r="F12" i="4"/>
  <c r="F14" i="4"/>
  <c r="G12" i="4"/>
  <c r="E14" i="4"/>
  <c r="G13" i="4"/>
  <c r="E13" i="4"/>
  <c r="G15" i="4"/>
  <c r="Q11" i="6" l="1"/>
  <c r="Q14" i="6"/>
  <c r="L13" i="6"/>
  <c r="M13" i="6"/>
  <c r="K9" i="6"/>
  <c r="J9" i="6"/>
  <c r="K5" i="6"/>
  <c r="J5" i="6"/>
  <c r="K4" i="6"/>
  <c r="J4" i="6"/>
  <c r="K14" i="6"/>
  <c r="J14" i="6"/>
  <c r="K7" i="6"/>
  <c r="J7" i="6"/>
  <c r="K11" i="6"/>
  <c r="J11" i="6"/>
  <c r="K6" i="6"/>
  <c r="J6" i="6"/>
  <c r="K8" i="6"/>
  <c r="J8" i="6"/>
  <c r="K12" i="6"/>
  <c r="J12" i="6"/>
  <c r="K10" i="6"/>
  <c r="J10" i="6"/>
  <c r="W5" i="5"/>
  <c r="X5" i="5"/>
  <c r="W7" i="5"/>
  <c r="X7" i="5"/>
  <c r="X6" i="5"/>
  <c r="W6" i="5"/>
  <c r="W8" i="5"/>
  <c r="X8" i="5"/>
  <c r="AQ12" i="4"/>
  <c r="AF13" i="4"/>
  <c r="U12" i="4"/>
  <c r="AQ14" i="4"/>
  <c r="U13" i="4"/>
  <c r="J14" i="4"/>
  <c r="U14" i="4"/>
  <c r="AQ13" i="4"/>
  <c r="J15" i="4"/>
  <c r="U15" i="4"/>
  <c r="J12" i="4"/>
  <c r="AF15" i="4"/>
  <c r="AF14" i="4"/>
  <c r="AF12" i="4"/>
  <c r="J13" i="4"/>
  <c r="AR12" i="4"/>
  <c r="AK12" i="4"/>
  <c r="AR13" i="4"/>
  <c r="AK13" i="4"/>
  <c r="AR14" i="4"/>
  <c r="AK14" i="4"/>
  <c r="AG12" i="4"/>
  <c r="Z12" i="4"/>
  <c r="Z15" i="4"/>
  <c r="AG15" i="4"/>
  <c r="AG14" i="4"/>
  <c r="Z14" i="4"/>
  <c r="Z13" i="4"/>
  <c r="AG13" i="4"/>
  <c r="V14" i="4"/>
  <c r="O14" i="4"/>
  <c r="V15" i="4"/>
  <c r="O15" i="4"/>
  <c r="O13" i="4"/>
  <c r="V13" i="4"/>
  <c r="V12" i="4"/>
  <c r="O12" i="4"/>
  <c r="D12" i="4"/>
  <c r="K12" i="4"/>
  <c r="K15" i="4"/>
  <c r="D15" i="4"/>
  <c r="D14" i="4"/>
  <c r="K14" i="4"/>
  <c r="K13" i="4"/>
  <c r="D13" i="4"/>
  <c r="J13" i="6" l="1"/>
  <c r="K13" i="6"/>
  <c r="C3" i="3" a="1"/>
  <c r="C3" i="5" a="1"/>
  <c r="Y5" i="4" a="1"/>
  <c r="Y5" i="4" s="1"/>
  <c r="AJ5" i="4" a="1"/>
  <c r="N5" i="4" a="1"/>
  <c r="C5" i="4" a="1"/>
  <c r="C3" i="3" l="1"/>
  <c r="N10" i="3"/>
  <c r="N4" i="3"/>
  <c r="N13" i="3"/>
  <c r="N12" i="3"/>
  <c r="N11" i="3"/>
  <c r="N9" i="3"/>
  <c r="N8" i="3"/>
  <c r="N7" i="3"/>
  <c r="N6" i="3"/>
  <c r="N5" i="3"/>
  <c r="N3" i="3"/>
  <c r="M6" i="5"/>
  <c r="M5" i="5"/>
  <c r="M11" i="5"/>
  <c r="M7" i="5"/>
  <c r="M13" i="5"/>
  <c r="M8" i="5"/>
  <c r="M9" i="5"/>
  <c r="M12" i="5"/>
  <c r="M4" i="5"/>
  <c r="M10" i="5"/>
  <c r="M3" i="5"/>
  <c r="C3" i="5"/>
  <c r="M4" i="3"/>
  <c r="M5" i="3"/>
  <c r="M6" i="3"/>
  <c r="M7" i="3"/>
  <c r="M8" i="3"/>
  <c r="M9" i="3"/>
  <c r="M10" i="3"/>
  <c r="M11" i="3"/>
  <c r="M12" i="3"/>
  <c r="M13" i="3"/>
  <c r="M3" i="3"/>
  <c r="AJ5" i="4"/>
  <c r="N5" i="4"/>
  <c r="C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<sst xmlns="http://schemas.openxmlformats.org/spreadsheetml/2006/main" count="463" uniqueCount="100">
  <si>
    <t>☆ 2부리그 ☆</t>
  </si>
  <si>
    <t>1. 파리</t>
    <phoneticPr fontId="7" type="noConversion"/>
  </si>
  <si>
    <t>3. 마인츠</t>
  </si>
  <si>
    <t>4. 뮌헨</t>
  </si>
  <si>
    <t>5. 첼시</t>
  </si>
  <si>
    <t>6. 레버쿠젠</t>
  </si>
  <si>
    <t>7. 나폴리</t>
  </si>
  <si>
    <t>8. 토트넘</t>
  </si>
  <si>
    <t>9. PSV</t>
  </si>
  <si>
    <t>10. ATM</t>
  </si>
  <si>
    <t>11. 볼프스</t>
  </si>
  <si>
    <t>☆ 챔피언스 리그 ☆</t>
  </si>
  <si>
    <t>1. 나폴리</t>
    <phoneticPr fontId="7" type="noConversion"/>
  </si>
  <si>
    <t>2. 뉴캐슬</t>
  </si>
  <si>
    <t>무</t>
  </si>
  <si>
    <t>무</t>
    <phoneticPr fontId="7" type="noConversion"/>
  </si>
  <si>
    <t>승</t>
  </si>
  <si>
    <t>승</t>
    <phoneticPr fontId="7" type="noConversion"/>
  </si>
  <si>
    <t>HOME</t>
    <phoneticPr fontId="7" type="noConversion"/>
  </si>
  <si>
    <t>AWAY</t>
    <phoneticPr fontId="7" type="noConversion"/>
  </si>
  <si>
    <t>팀명</t>
    <phoneticPr fontId="7" type="noConversion"/>
  </si>
  <si>
    <t>3. 레버쿠젠</t>
    <phoneticPr fontId="7" type="noConversion"/>
  </si>
  <si>
    <t>☆ FA컵 ☆</t>
    <phoneticPr fontId="7" type="noConversion"/>
  </si>
  <si>
    <t>ㅡ 전 경기 연장전 키고 단판경기 ㅡ</t>
    <phoneticPr fontId="7" type="noConversion"/>
  </si>
  <si>
    <r>
      <t xml:space="preserve">FA컵 16강 및 8강 </t>
    </r>
    <r>
      <rPr>
        <b/>
        <sz val="11"/>
        <color theme="1"/>
        <rFont val="맑은 고딕"/>
        <family val="2"/>
        <scheme val="minor"/>
      </rPr>
      <t>~ 2월 15일</t>
    </r>
    <phoneticPr fontId="7" type="noConversion"/>
  </si>
  <si>
    <r>
      <t xml:space="preserve">챔스 조별리그  </t>
    </r>
    <r>
      <rPr>
        <b/>
        <sz val="11"/>
        <color theme="1"/>
        <rFont val="맑은 고딕"/>
        <family val="2"/>
        <scheme val="minor"/>
      </rPr>
      <t>~ 2월 15일)</t>
    </r>
    <phoneticPr fontId="7" type="noConversion"/>
  </si>
  <si>
    <r>
      <t xml:space="preserve">리그기간  </t>
    </r>
    <r>
      <rPr>
        <b/>
        <sz val="11"/>
        <color theme="1"/>
        <rFont val="맑은 고딕"/>
        <family val="2"/>
        <scheme val="minor"/>
      </rPr>
      <t>~ 3월 1일</t>
    </r>
    <phoneticPr fontId="7" type="noConversion"/>
  </si>
  <si>
    <t>[16강] vs PSV</t>
    <phoneticPr fontId="7" type="noConversion"/>
  </si>
  <si>
    <t xml:space="preserve">A조 </t>
    <phoneticPr fontId="7" type="noConversion"/>
  </si>
  <si>
    <t>1경기</t>
    <phoneticPr fontId="7" type="noConversion"/>
  </si>
  <si>
    <t>2경기</t>
    <phoneticPr fontId="7" type="noConversion"/>
  </si>
  <si>
    <t>패</t>
  </si>
  <si>
    <t>패</t>
    <phoneticPr fontId="7" type="noConversion"/>
  </si>
  <si>
    <t>2. 인테르</t>
    <phoneticPr fontId="7" type="noConversion"/>
  </si>
  <si>
    <t>파리</t>
  </si>
  <si>
    <t>파리</t>
    <phoneticPr fontId="7" type="noConversion"/>
  </si>
  <si>
    <t>인테르</t>
  </si>
  <si>
    <t>마인츠</t>
  </si>
  <si>
    <t>뮌헨</t>
  </si>
  <si>
    <t>첼시</t>
  </si>
  <si>
    <t>레버쿠젠</t>
  </si>
  <si>
    <t>나폴리</t>
  </si>
  <si>
    <t>토트넘</t>
  </si>
  <si>
    <t>PSV</t>
  </si>
  <si>
    <t>ATM</t>
  </si>
  <si>
    <t>볼프스</t>
  </si>
  <si>
    <t>인테르</t>
    <phoneticPr fontId="7" type="noConversion"/>
  </si>
  <si>
    <t>마인츠</t>
    <phoneticPr fontId="7" type="noConversion"/>
  </si>
  <si>
    <t>팀1 결과</t>
    <phoneticPr fontId="7" type="noConversion"/>
  </si>
  <si>
    <t>팀1</t>
    <phoneticPr fontId="7" type="noConversion"/>
  </si>
  <si>
    <t>팀1 S</t>
    <phoneticPr fontId="7" type="noConversion"/>
  </si>
  <si>
    <t>팀2 S</t>
    <phoneticPr fontId="7" type="noConversion"/>
  </si>
  <si>
    <t>팀2</t>
    <phoneticPr fontId="7" type="noConversion"/>
  </si>
  <si>
    <t>팀2 결과</t>
    <phoneticPr fontId="7" type="noConversion"/>
  </si>
  <si>
    <t>득점</t>
  </si>
  <si>
    <t>득점</t>
    <phoneticPr fontId="7" type="noConversion"/>
  </si>
  <si>
    <t>실점</t>
  </si>
  <si>
    <t>실점</t>
    <phoneticPr fontId="7" type="noConversion"/>
  </si>
  <si>
    <t>득실</t>
  </si>
  <si>
    <t>득실</t>
    <phoneticPr fontId="7" type="noConversion"/>
  </si>
  <si>
    <t>승점점수</t>
  </si>
  <si>
    <t>경기</t>
  </si>
  <si>
    <t>경기</t>
    <phoneticPr fontId="7" type="noConversion"/>
  </si>
  <si>
    <t>팀</t>
  </si>
  <si>
    <t>순위</t>
    <phoneticPr fontId="7" type="noConversion"/>
  </si>
  <si>
    <t>승 점</t>
    <phoneticPr fontId="7" type="noConversion"/>
  </si>
  <si>
    <t>토트넘</t>
    <phoneticPr fontId="7" type="noConversion"/>
  </si>
  <si>
    <t>첼시</t>
    <phoneticPr fontId="7" type="noConversion"/>
  </si>
  <si>
    <t>뮌헨</t>
    <phoneticPr fontId="7" type="noConversion"/>
  </si>
  <si>
    <t>레버쿠젠</t>
    <phoneticPr fontId="7" type="noConversion"/>
  </si>
  <si>
    <t>나폴리</t>
    <phoneticPr fontId="7" type="noConversion"/>
  </si>
  <si>
    <t>PSV</t>
    <phoneticPr fontId="7" type="noConversion"/>
  </si>
  <si>
    <t>ATM</t>
    <phoneticPr fontId="7" type="noConversion"/>
  </si>
  <si>
    <t>뉴캐슬</t>
    <phoneticPr fontId="7" type="noConversion"/>
  </si>
  <si>
    <t>챔피언스리그 GROUP A</t>
    <phoneticPr fontId="7" type="noConversion"/>
  </si>
  <si>
    <t>챔피언스리그 GROUP B</t>
    <phoneticPr fontId="7" type="noConversion"/>
  </si>
  <si>
    <t>챔피언스리그 GROUP C</t>
    <phoneticPr fontId="7" type="noConversion"/>
  </si>
  <si>
    <t>챔피언스리그 GROUP D</t>
    <phoneticPr fontId="7" type="noConversion"/>
  </si>
  <si>
    <t>레알</t>
    <phoneticPr fontId="7" type="noConversion"/>
  </si>
  <si>
    <t>맨유</t>
    <phoneticPr fontId="7" type="noConversion"/>
  </si>
  <si>
    <t>볼프스</t>
    <phoneticPr fontId="7" type="noConversion"/>
  </si>
  <si>
    <t>돌문</t>
    <phoneticPr fontId="7" type="noConversion"/>
  </si>
  <si>
    <t>R</t>
    <phoneticPr fontId="7" type="noConversion"/>
  </si>
  <si>
    <t>D</t>
    <phoneticPr fontId="7" type="noConversion"/>
  </si>
  <si>
    <r>
      <rPr>
        <sz val="10"/>
        <color theme="1"/>
        <rFont val="맑은 고딕"/>
        <family val="2"/>
        <charset val="129"/>
      </rPr>
      <t>경기당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승점</t>
    </r>
    <phoneticPr fontId="7" type="noConversion"/>
  </si>
  <si>
    <t>[8강] 맨유</t>
    <phoneticPr fontId="7" type="noConversion"/>
  </si>
  <si>
    <t>돌문</t>
  </si>
  <si>
    <t>뉴캐슬</t>
  </si>
  <si>
    <t>맨유</t>
  </si>
  <si>
    <t>레알</t>
  </si>
  <si>
    <t>최대 승점</t>
    <phoneticPr fontId="7" type="noConversion"/>
  </si>
  <si>
    <t>결과</t>
    <phoneticPr fontId="7" type="noConversion"/>
  </si>
  <si>
    <t>NO</t>
    <phoneticPr fontId="7" type="noConversion"/>
  </si>
  <si>
    <t>팀</t>
    <phoneticPr fontId="7" type="noConversion"/>
  </si>
  <si>
    <t>상대팀</t>
    <phoneticPr fontId="7" type="noConversion"/>
  </si>
  <si>
    <r>
      <rPr>
        <b/>
        <sz val="11"/>
        <color theme="1"/>
        <rFont val="맑은 고딕"/>
        <family val="2"/>
        <scheme val="minor"/>
      </rPr>
      <t xml:space="preserve"> [ 2부리그 ]
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rgb="FFC00000"/>
        <rFont val="맑은 고딕"/>
        <family val="2"/>
        <scheme val="minor"/>
      </rPr>
      <t xml:space="preserve">뮌헨 3 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b/>
        <sz val="11"/>
        <color rgb="FF002060"/>
        <rFont val="맑은 고딕"/>
        <family val="2"/>
        <scheme val="minor"/>
      </rPr>
      <t>3 파리</t>
    </r>
    <r>
      <rPr>
        <sz val="11"/>
        <color theme="1"/>
        <rFont val="맑은 고딕"/>
        <family val="2"/>
        <charset val="129"/>
        <scheme val="minor"/>
      </rPr>
      <t xml:space="preserve">
[그나브리, 뮐러, 베켄바워 / 바르콜라2, 카바니]
</t>
    </r>
    <r>
      <rPr>
        <b/>
        <sz val="11"/>
        <color rgb="FF002060"/>
        <rFont val="맑은 고딕"/>
        <family val="2"/>
        <scheme val="minor"/>
      </rPr>
      <t xml:space="preserve">
파리 1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rgb="FFC00000"/>
        <rFont val="맑은 고딕"/>
        <family val="2"/>
        <scheme val="minor"/>
      </rPr>
      <t>5 뮌헨</t>
    </r>
    <r>
      <rPr>
        <sz val="11"/>
        <color theme="1"/>
        <rFont val="맑은 고딕"/>
        <family val="2"/>
        <charset val="129"/>
        <scheme val="minor"/>
      </rPr>
      <t xml:space="preserve">
[카바니 / 레반3, 뮐러2, 베켄바워]</t>
    </r>
    <phoneticPr fontId="7" type="noConversion"/>
  </si>
  <si>
    <t>도르트문트</t>
  </si>
  <si>
    <t>비야레알</t>
  </si>
  <si>
    <t>승점</t>
    <phoneticPr fontId="7" type="noConversion"/>
  </si>
  <si>
    <t>경기수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</si>
</sst>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6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sz val="10"/>
      <color theme="1"/>
      <name val="Noto Sans KR"/>
      <family val="2"/>
      <charset val="129"/>
    </font>
    <font>
      <b/>
      <sz val="11"/>
      <color rgb="FFE52D38"/>
      <name val="Arial"/>
      <family val="2"/>
    </font>
    <font>
      <b/>
      <sz val="11"/>
      <color rgb="FF333333"/>
      <name val="Noto Sans KR"/>
      <family val="2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Noto Sans KR"/>
      <family val="2"/>
      <charset val="129"/>
    </font>
    <font>
      <b/>
      <sz val="10"/>
      <color theme="1"/>
      <name val="Arial"/>
      <family val="2"/>
    </font>
    <font>
      <sz val="11"/>
      <name val="Arial"/>
      <family val="2"/>
    </font>
    <font>
      <b/>
      <sz val="11"/>
      <color rgb="FFC00000"/>
      <name val="맑은 고딕"/>
      <family val="2"/>
      <scheme val="minor"/>
    </font>
    <font>
      <b/>
      <sz val="11"/>
      <color rgb="FF00206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49998474074526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theme="0" tint="-0.49998474074526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499984740745262"/>
      </left>
      <right/>
      <top style="medium">
        <color theme="0" tint="-0.14996795556505021"/>
      </top>
      <bottom style="medium">
        <color theme="0" tint="-0.499984740745262"/>
      </bottom>
      <diagonal/>
    </border>
    <border>
      <left/>
      <right/>
      <top style="medium">
        <color theme="0" tint="-0.14996795556505021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14996795556505021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14996795556505021"/>
      </top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14996795556505021"/>
      </bottom>
      <diagonal/>
    </border>
    <border>
      <left/>
      <right style="thin">
        <color theme="0" tint="-0.499984740745262"/>
      </right>
      <top/>
      <bottom style="medium">
        <color theme="0" tint="-0.1499679555650502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14996795556505021"/>
      </bottom>
      <diagonal/>
    </border>
    <border>
      <left/>
      <right style="medium">
        <color theme="0" tint="-0.49998474074526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499984740745262"/>
      </right>
      <top style="medium">
        <color theme="0" tint="-0.14996795556505021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14996795556505021"/>
      </bottom>
      <diagonal/>
    </border>
    <border>
      <left style="medium">
        <color theme="0" tint="-0.49998474074526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499984740745262"/>
      </left>
      <right/>
      <top style="medium">
        <color theme="0" tint="-0.14996795556505021"/>
      </top>
      <bottom style="medium">
        <color theme="0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6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6" xfId="0" applyBorder="1" applyAlignment="1">
      <alignment horizontal="left" vertical="center" indent="1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14" fillId="2" borderId="46" xfId="0" applyFont="1" applyFill="1" applyBorder="1" applyAlignment="1">
      <alignment horizontal="center" vertical="center" wrapText="1"/>
    </xf>
    <xf numFmtId="0" fontId="14" fillId="2" borderId="45" xfId="0" applyFont="1" applyFill="1" applyBorder="1" applyAlignment="1">
      <alignment horizontal="center" vertical="center" wrapText="1"/>
    </xf>
    <xf numFmtId="0" fontId="14" fillId="2" borderId="47" xfId="0" applyFont="1" applyFill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3" fillId="3" borderId="41" xfId="0" applyFont="1" applyFill="1" applyBorder="1" applyAlignment="1">
      <alignment horizontal="center" vertical="center" wrapText="1"/>
    </xf>
    <xf numFmtId="0" fontId="13" fillId="3" borderId="40" xfId="0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3" fillId="3" borderId="43" xfId="0" applyFont="1" applyFill="1" applyBorder="1" applyAlignment="1">
      <alignment horizontal="center" vertical="center" wrapText="1"/>
    </xf>
    <xf numFmtId="0" fontId="15" fillId="3" borderId="42" xfId="0" applyFont="1" applyFill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2" borderId="47" xfId="0" applyFont="1" applyFill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left" vertical="center" wrapText="1" indent="1"/>
    </xf>
    <xf numFmtId="0" fontId="17" fillId="2" borderId="46" xfId="0" applyFont="1" applyFill="1" applyBorder="1" applyAlignment="1">
      <alignment horizontal="left" vertical="center" wrapText="1" indent="1"/>
    </xf>
    <xf numFmtId="0" fontId="17" fillId="0" borderId="46" xfId="0" applyFont="1" applyBorder="1" applyAlignment="1">
      <alignment horizontal="left" vertical="center" wrapText="1" indent="1"/>
    </xf>
    <xf numFmtId="0" fontId="6" fillId="0" borderId="52" xfId="0" applyFont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2" borderId="48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left" vertical="center" wrapText="1" indent="1"/>
    </xf>
    <xf numFmtId="0" fontId="14" fillId="2" borderId="50" xfId="0" applyFont="1" applyFill="1" applyBorder="1" applyAlignment="1">
      <alignment horizontal="center" vertical="center" wrapText="1"/>
    </xf>
    <xf numFmtId="0" fontId="14" fillId="2" borderId="49" xfId="0" applyFont="1" applyFill="1" applyBorder="1" applyAlignment="1">
      <alignment horizontal="center" vertical="center" wrapText="1"/>
    </xf>
    <xf numFmtId="0" fontId="14" fillId="2" borderId="48" xfId="0" applyFont="1" applyFill="1" applyBorder="1" applyAlignment="1">
      <alignment horizontal="center" vertical="center" wrapText="1"/>
    </xf>
    <xf numFmtId="0" fontId="14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3" borderId="62" xfId="0" applyFont="1" applyFill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wrapText="1"/>
    </xf>
    <xf numFmtId="0" fontId="16" fillId="2" borderId="64" xfId="0" applyFont="1" applyFill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6" fillId="0" borderId="65" xfId="0" applyFont="1" applyBorder="1" applyAlignment="1">
      <alignment horizontal="center" vertical="center" wrapText="1"/>
    </xf>
    <xf numFmtId="0" fontId="15" fillId="3" borderId="43" xfId="0" applyFont="1" applyFill="1" applyBorder="1" applyAlignment="1">
      <alignment horizontal="center" vertical="center" wrapText="1"/>
    </xf>
    <xf numFmtId="0" fontId="17" fillId="0" borderId="55" xfId="0" applyFont="1" applyBorder="1" applyAlignment="1">
      <alignment horizontal="left" vertical="center" wrapText="1" indent="1"/>
    </xf>
    <xf numFmtId="0" fontId="17" fillId="2" borderId="47" xfId="0" applyFont="1" applyFill="1" applyBorder="1" applyAlignment="1">
      <alignment horizontal="left" vertical="center" wrapText="1" indent="1"/>
    </xf>
    <xf numFmtId="0" fontId="17" fillId="0" borderId="47" xfId="0" applyFont="1" applyBorder="1" applyAlignment="1">
      <alignment horizontal="left" vertical="center" wrapText="1" indent="1"/>
    </xf>
    <xf numFmtId="0" fontId="15" fillId="3" borderId="66" xfId="0" applyFont="1" applyFill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7" fillId="2" borderId="68" xfId="0" applyFont="1" applyFill="1" applyBorder="1" applyAlignment="1">
      <alignment horizontal="center" vertical="center" wrapText="1"/>
    </xf>
    <xf numFmtId="0" fontId="14" fillId="2" borderId="64" xfId="0" applyFont="1" applyFill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17" fillId="0" borderId="69" xfId="0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76" fontId="14" fillId="0" borderId="53" xfId="0" applyNumberFormat="1" applyFont="1" applyBorder="1" applyAlignment="1">
      <alignment horizontal="center" vertical="center" wrapText="1"/>
    </xf>
    <xf numFmtId="176" fontId="14" fillId="2" borderId="46" xfId="0" applyNumberFormat="1" applyFont="1" applyFill="1" applyBorder="1" applyAlignment="1">
      <alignment horizontal="center" vertical="center" wrapText="1"/>
    </xf>
    <xf numFmtId="176" fontId="14" fillId="0" borderId="46" xfId="0" applyNumberFormat="1" applyFont="1" applyBorder="1" applyAlignment="1">
      <alignment horizontal="center" vertical="center" wrapText="1"/>
    </xf>
    <xf numFmtId="176" fontId="14" fillId="0" borderId="49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indent="1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 indent="1"/>
    </xf>
    <xf numFmtId="0" fontId="8" fillId="4" borderId="10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 indent="1"/>
    </xf>
    <xf numFmtId="0" fontId="8" fillId="4" borderId="1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7" fillId="2" borderId="69" xfId="0" applyFont="1" applyFill="1" applyBorder="1" applyAlignment="1">
      <alignment horizontal="center" vertical="center" wrapText="1"/>
    </xf>
    <xf numFmtId="0" fontId="17" fillId="2" borderId="51" xfId="0" applyFont="1" applyFill="1" applyBorder="1" applyAlignment="1">
      <alignment horizontal="left" vertical="center" wrapText="1" indent="1"/>
    </xf>
    <xf numFmtId="0" fontId="16" fillId="2" borderId="65" xfId="0" applyFont="1" applyFill="1" applyBorder="1" applyAlignment="1">
      <alignment horizontal="center" vertical="center" wrapText="1"/>
    </xf>
    <xf numFmtId="0" fontId="14" fillId="2" borderId="65" xfId="0" applyFont="1" applyFill="1" applyBorder="1" applyAlignment="1">
      <alignment horizontal="center" vertical="center" wrapText="1"/>
    </xf>
    <xf numFmtId="0" fontId="19" fillId="3" borderId="66" xfId="0" applyFont="1" applyFill="1" applyBorder="1" applyAlignment="1">
      <alignment horizontal="center" vertical="center" wrapText="1"/>
    </xf>
    <xf numFmtId="0" fontId="20" fillId="3" borderId="62" xfId="0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horizontal="center" vertical="center" wrapText="1"/>
    </xf>
    <xf numFmtId="0" fontId="20" fillId="3" borderId="40" xfId="0" applyFont="1" applyFill="1" applyBorder="1" applyAlignment="1">
      <alignment horizontal="center" vertical="center" wrapText="1"/>
    </xf>
    <xf numFmtId="0" fontId="20" fillId="3" borderId="42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indent="1"/>
    </xf>
    <xf numFmtId="0" fontId="8" fillId="0" borderId="15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>
      <alignment vertical="center"/>
    </xf>
    <xf numFmtId="1" fontId="14" fillId="0" borderId="53" xfId="0" applyNumberFormat="1" applyFont="1" applyBorder="1" applyAlignment="1">
      <alignment horizontal="center" vertical="center" wrapText="1"/>
    </xf>
    <xf numFmtId="1" fontId="14" fillId="2" borderId="46" xfId="0" applyNumberFormat="1" applyFont="1" applyFill="1" applyBorder="1" applyAlignment="1">
      <alignment horizontal="center" vertical="center" wrapText="1"/>
    </xf>
    <xf numFmtId="1" fontId="14" fillId="0" borderId="4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0" fontId="17" fillId="2" borderId="46" xfId="0" applyFont="1" applyFill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" fontId="21" fillId="2" borderId="46" xfId="0" applyNumberFormat="1" applyFont="1" applyFill="1" applyBorder="1" applyAlignment="1">
      <alignment horizontal="center" vertical="center" wrapText="1"/>
    </xf>
    <xf numFmtId="1" fontId="21" fillId="0" borderId="46" xfId="0" applyNumberFormat="1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57" xfId="0" applyFont="1" applyBorder="1" applyAlignment="1">
      <alignment horizontal="left" vertical="center" wrapText="1" indent="1"/>
    </xf>
    <xf numFmtId="0" fontId="1" fillId="0" borderId="70" xfId="0" applyFont="1" applyBorder="1" applyAlignment="1">
      <alignment horizontal="left" vertical="center" wrapText="1" indent="1"/>
    </xf>
    <xf numFmtId="0" fontId="1" fillId="0" borderId="59" xfId="0" applyFont="1" applyBorder="1" applyAlignment="1">
      <alignment horizontal="left" vertical="center" wrapText="1" indent="1"/>
    </xf>
    <xf numFmtId="0" fontId="1" fillId="0" borderId="56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1" fillId="0" borderId="58" xfId="0" applyFont="1" applyBorder="1" applyAlignment="1">
      <alignment horizontal="left" vertical="center" wrapText="1" indent="1"/>
    </xf>
    <xf numFmtId="0" fontId="1" fillId="0" borderId="60" xfId="0" applyFont="1" applyBorder="1" applyAlignment="1">
      <alignment horizontal="left" vertical="center" wrapText="1" indent="1"/>
    </xf>
    <xf numFmtId="0" fontId="1" fillId="0" borderId="71" xfId="0" applyFont="1" applyBorder="1" applyAlignment="1">
      <alignment horizontal="left" vertical="center" wrapText="1" indent="1"/>
    </xf>
    <xf numFmtId="0" fontId="1" fillId="0" borderId="61" xfId="0" applyFont="1" applyBorder="1" applyAlignment="1">
      <alignment horizontal="left" vertical="center" wrapText="1" indent="1"/>
    </xf>
    <xf numFmtId="0" fontId="11" fillId="0" borderId="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표준" xfId="0" builtinId="0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0</xdr:colOff>
      <xdr:row>1</xdr:row>
      <xdr:rowOff>0</xdr:rowOff>
    </xdr:from>
    <xdr:to>
      <xdr:col>18</xdr:col>
      <xdr:colOff>0</xdr:colOff>
      <xdr:row>13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팀">
              <a:extLst>
                <a:ext uri="{FF2B5EF4-FFF2-40B4-BE49-F238E27FC236}">
                  <a16:creationId xmlns:a16="http://schemas.microsoft.com/office/drawing/2014/main" id="{052969B9-74B9-8CCB-E8AF-C653C63543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67548" y="206044"/>
              <a:ext cx="1948056" cy="39772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651795</xdr:colOff>
      <xdr:row>1</xdr:row>
      <xdr:rowOff>0</xdr:rowOff>
    </xdr:from>
    <xdr:to>
      <xdr:col>21</xdr:col>
      <xdr:colOff>0</xdr:colOff>
      <xdr:row>13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상대팀">
              <a:extLst>
                <a:ext uri="{FF2B5EF4-FFF2-40B4-BE49-F238E27FC236}">
                  <a16:creationId xmlns:a16="http://schemas.microsoft.com/office/drawing/2014/main" id="{B45FAA61-945B-85B2-FEF0-134CA80905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상대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45465" y="204687"/>
              <a:ext cx="1961901" cy="40071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팀" xr10:uid="{24EA0257-3DFD-4B9C-97FE-E7D8CE4FEDE5}" sourceName="팀">
  <extLst>
    <x:ext xmlns:x15="http://schemas.microsoft.com/office/spreadsheetml/2010/11/main" uri="{2F2917AC-EB37-4324-AD4E-5DD8C200BD13}">
      <x15:tableSlicerCache tableId="15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상대팀" xr10:uid="{9D1E5490-8C5C-4155-9635-879E469701EB}" sourceName="상대팀">
  <extLst>
    <x:ext xmlns:x15="http://schemas.microsoft.com/office/spreadsheetml/2010/11/main" uri="{2F2917AC-EB37-4324-AD4E-5DD8C200BD13}">
      <x15:tableSlicerCache tableId="15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팀" xr10:uid="{E9DF2DF4-A25E-4B2C-B557-720D0702E67A}" cache="슬라이서_팀" caption="팀" style="SlicerStyleDark1" rowHeight="260475"/>
  <slicer name="상대팀" xr10:uid="{255F88D8-54A7-4FEE-8AB9-79901CC474EF}" cache="슬라이서_상대팀" caption="상대팀" style="SlicerStyleDark5" rowHeight="2604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F2341E1-EC08-4C6E-AF5F-4DA808D06433}" name="표2_12" displayName="표2_12" ref="V4:AD8" totalsRowShown="0" headerRowDxfId="120" dataDxfId="119">
  <autoFilter ref="V4:AD8" xr:uid="{2D361B3E-072B-47C0-84A5-DBE13DBAD7D5}"/>
  <tableColumns count="9">
    <tableColumn id="1" xr3:uid="{71FEE5FE-E159-43C8-8635-F5D7A9B3F1BF}" name="팀" dataDxfId="118"/>
    <tableColumn id="9" xr3:uid="{C177003F-6A73-4C35-8436-41D594BA5E1E}" name="승점점수" dataDxfId="117">
      <calculatedColumnFormula>표2_12[[#This Row],[승]]*3+표2_12[[#This Row],[무]]</calculatedColumnFormula>
    </tableColumn>
    <tableColumn id="2" xr3:uid="{AD559114-BC16-436E-83AA-80792772AEF0}" name="경기" dataDxfId="116">
      <calculatedColumnFormula>표2_12[[#This Row],[승]]+표2_12[[#This Row],[무]]+표2_12[[#This Row],[패]]</calculatedColumnFormula>
    </tableColumn>
    <tableColumn id="3" xr3:uid="{45A49778-196C-4CD7-8F01-C6811DF82F95}" name="승" dataDxfId="115">
      <calculatedColumnFormula>COUNTIFS(표1_13[팀1 결과],Y$2,표1_13[팀1],표2_12[[#This Row],[팀]])+COUNTIFS(표1_13[팀2 결과],Y$2,표1_13[팀2],표2_12[[#This Row],[팀]])</calculatedColumnFormula>
    </tableColumn>
    <tableColumn id="4" xr3:uid="{C11A6A46-D254-4CC6-8957-8A8E5BC6843C}" name="무" dataDxfId="114">
      <calculatedColumnFormula>COUNTIFS(표1_13[팀1 결과],Z$2,표1_13[팀1],표2_12[[#This Row],[팀]])+COUNTIFS(표1_13[팀2 결과],Z$2,표1_13[팀2],표2_12[[#This Row],[팀]])</calculatedColumnFormula>
    </tableColumn>
    <tableColumn id="5" xr3:uid="{0DCC12FD-3E0A-44CD-B5C0-0A7C0AA13A1C}" name="패" dataDxfId="113">
      <calculatedColumnFormula>COUNTIFS(표1_13[팀1 결과],AA$2,표1_13[팀1],표2_12[[#This Row],[팀]])+COUNTIFS(표1_13[팀2 결과],AA$2,표1_13[팀2],표2_12[[#This Row],[팀]])</calculatedColumnFormula>
    </tableColumn>
    <tableColumn id="6" xr3:uid="{596ADEFE-0DC4-4429-A25C-6C18A3A00063}" name="득점" dataDxfId="112">
      <calculatedColumnFormula>SUMIF(표1_13[팀1],표2_12[[#This Row],[팀]],표1_13[팀1 S])+SUMIF(표1_13[팀2],표2_12[[#This Row],[팀]],표1_13[팀2 S])</calculatedColumnFormula>
    </tableColumn>
    <tableColumn id="7" xr3:uid="{9F591115-1832-4316-8D9B-912C39968DA2}" name="실점" dataDxfId="111">
      <calculatedColumnFormula>SUMIF(표1_13[팀1],표2_12[[#This Row],[팀]],표1_13[팀2 S])+SUMIF(표1_13[팀2],표2_12[[#This Row],[팀]],표1_13[팀1 S])</calculatedColumnFormula>
    </tableColumn>
    <tableColumn id="8" xr3:uid="{A474FC45-267E-400D-AECA-14FF77F7B3C6}" name="득실" dataDxfId="110">
      <calculatedColumnFormula>표2_12[[#This Row],[득점]]-표2_12[[#This Row],[실점]]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FDECB2-E217-4BA3-8302-4027C5B72FA7}" name="표1_13" displayName="표1_13" ref="O2:T14" totalsRowShown="0" headerRowDxfId="109" dataDxfId="108" tableBorderDxfId="107">
  <autoFilter ref="O2:T14" xr:uid="{1E31C581-9F54-40C8-A5E4-AD82E1CFEBA3}"/>
  <sortState xmlns:xlrd2="http://schemas.microsoft.com/office/spreadsheetml/2017/richdata2" ref="O3:T14">
    <sortCondition descending="1" ref="P2:P14"/>
  </sortState>
  <tableColumns count="6">
    <tableColumn id="1" xr3:uid="{AE8911D5-DAA0-47CD-A025-1E744CE9994C}" name="팀1 결과" dataDxfId="106">
      <calculatedColumnFormula>IF(Q3="","",IF(Q3&gt;R3,"승",IF(Q3=R3,"무",IF(Q3&lt;R3,"패",""))))</calculatedColumnFormula>
    </tableColumn>
    <tableColumn id="2" xr3:uid="{D4525851-CF04-4EBC-B1CC-E0824094F874}" name="팀1" dataDxfId="105"/>
    <tableColumn id="3" xr3:uid="{3324832B-5E36-4B47-8539-00C2DA749A6A}" name="팀1 S" dataDxfId="104"/>
    <tableColumn id="4" xr3:uid="{F6DAA9BC-1A84-47B7-9ACF-8B6ACC23AC18}" name="팀2 S" dataDxfId="103"/>
    <tableColumn id="5" xr3:uid="{53C54D35-5AA5-4E0E-9B99-24F16932F5CC}" name="팀2" dataDxfId="102"/>
    <tableColumn id="6" xr3:uid="{5144DB26-1BCB-4DE3-80F3-BE46B895C877}" name="팀2 결과" dataDxfId="101">
      <calculatedColumnFormula>IF(O3="","",IF(O3="무","무",IF(O3="승","패","승")))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D7BECB0-7E11-4542-9625-5924A17855C1}" name="표100" displayName="표100" ref="P14:U124" totalsRowShown="0" headerRowDxfId="13" dataDxfId="5" tableBorderDxfId="12">
  <autoFilter ref="P14:U124" xr:uid="{1D7BECB0-7E11-4542-9625-5924A17855C1}"/>
  <sortState xmlns:xlrd2="http://schemas.microsoft.com/office/spreadsheetml/2017/richdata2" ref="P15:U124">
    <sortCondition ref="P14:P124"/>
  </sortState>
  <tableColumns count="6">
    <tableColumn id="1" xr3:uid="{7C72AED6-48C4-4BAA-85FD-449852D4FF57}" name="NO" dataDxfId="11"/>
    <tableColumn id="2" xr3:uid="{3B1531D8-775D-4155-A87D-3E8953088C7F}" name="결과" dataDxfId="10"/>
    <tableColumn id="3" xr3:uid="{B3D7CB5D-BF9C-4367-A77E-D71238180BF4}" name="팀" dataDxfId="9"/>
    <tableColumn id="4" xr3:uid="{66023EAE-AF0B-4B17-A850-888D80ED6D3D}" name="득점" dataDxfId="8"/>
    <tableColumn id="5" xr3:uid="{78228ABE-DD59-4A0C-8D58-1586B8B806C7}" name="실점" dataDxfId="7"/>
    <tableColumn id="6" xr3:uid="{38A07F5E-FE72-4DD5-8C10-05C90EC11317}" name="상대팀" dataDxfId="6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98D1405-3E9B-4912-8FA7-46D6BEA87E05}" name="표200" displayName="표200" ref="I3:Q14" totalsRowShown="0" headerRowDxfId="100" dataDxfId="99">
  <autoFilter ref="I3:Q14" xr:uid="{398D1405-3E9B-4912-8FA7-46D6BEA87E05}"/>
  <sortState xmlns:xlrd2="http://schemas.microsoft.com/office/spreadsheetml/2017/richdata2" ref="I4:Q14">
    <sortCondition descending="1" ref="J3:J14"/>
  </sortState>
  <tableColumns count="9">
    <tableColumn id="1" xr3:uid="{A0FC2201-2A9A-48D9-A555-628E89C02916}" name="팀" dataDxfId="98"/>
    <tableColumn id="9" xr3:uid="{DEFA1BA2-D743-4067-84B9-1E7B719B60C2}" name="승점점수" dataDxfId="97">
      <calculatedColumnFormula>표200[[#This Row],[승]]*3+표200[[#This Row],[무]]</calculatedColumnFormula>
    </tableColumn>
    <tableColumn id="2" xr3:uid="{AACD5620-21D5-43DA-A9F4-7FBDA90EB4FE}" name="경기" dataDxfId="96">
      <calculatedColumnFormula>표200[[#This Row],[승]]+표200[[#This Row],[무]]+표200[[#This Row],[패]]</calculatedColumnFormula>
    </tableColumn>
    <tableColumn id="3" xr3:uid="{E248D5F7-87AC-4B31-A1E3-81C78F0275C0}" name="승" dataDxfId="95">
      <calculatedColumnFormula>COUNTIFS(표100[팀],표200[[#This Row],[팀]],표100[결과],$L$2)</calculatedColumnFormula>
    </tableColumn>
    <tableColumn id="4" xr3:uid="{2B27B48F-1377-4FDA-82DA-5170423A952F}" name="무" dataDxfId="94">
      <calculatedColumnFormula>COUNTIFS(표100[팀],표200[[#This Row],[팀]],표100[결과],$M$2)</calculatedColumnFormula>
    </tableColumn>
    <tableColumn id="5" xr3:uid="{66F671C9-9AD8-4295-92E2-D4B595820BE3}" name="패" dataDxfId="93">
      <calculatedColumnFormula>COUNTIFS(표100[팀],표200[[#This Row],[팀]],표100[결과],$N$2)</calculatedColumnFormula>
    </tableColumn>
    <tableColumn id="6" xr3:uid="{8D0A9701-43C8-44DE-AE85-08A6B1AD4F79}" name="득점" dataDxfId="92">
      <calculatedColumnFormula>SUMIFS(표100[득점],표100[팀],표200[[#This Row],[팀]])</calculatedColumnFormula>
    </tableColumn>
    <tableColumn id="7" xr3:uid="{24C82B08-0A3D-4ABC-83B1-220099AE1C48}" name="실점" dataDxfId="91">
      <calculatedColumnFormula>SUMIFS(표100[실점],표100[팀],표200[[#This Row],[팀]])</calculatedColumnFormula>
    </tableColumn>
    <tableColumn id="8" xr3:uid="{A0C16888-273C-46AD-8242-BA4064C8043C}" name="득실" dataDxfId="90">
      <calculatedColumnFormula>표200[[#This Row],[득점]]-표200[[#This Row],[실점]]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B2A89D-2F51-4398-BB64-BFC79B04D419}" name="표2_4" displayName="표2_4" ref="C11:K15" totalsRowShown="0" headerRowDxfId="89" dataDxfId="88">
  <autoFilter ref="C11:K15" xr:uid="{2D361B3E-072B-47C0-84A5-DBE13DBAD7D5}"/>
  <tableColumns count="9">
    <tableColumn id="1" xr3:uid="{F312621D-D8EC-4E13-81CD-E3CD80B5F807}" name="팀" dataDxfId="87"/>
    <tableColumn id="2" xr3:uid="{D6659F49-4723-4457-87BD-643C6341BBAE}" name="경기" dataDxfId="86">
      <calculatedColumnFormula>표2_4[[#This Row],[승]]+표2_4[[#This Row],[무]]+표2_4[[#This Row],[패]]</calculatedColumnFormula>
    </tableColumn>
    <tableColumn id="3" xr3:uid="{3AB751BB-2842-464D-88FB-5BE9B2A8D471}" name="승" dataDxfId="85">
      <calculatedColumnFormula>COUNTIFS(챔스A[팀1 결과],E$10,챔스A[팀1],표2_4[[#This Row],[팀]])+COUNTIFS(챔스A[팀2 결과],E$10,챔스A[팀2],표2_4[[#This Row],[팀]])</calculatedColumnFormula>
    </tableColumn>
    <tableColumn id="4" xr3:uid="{DC6F89B2-5451-47F2-8DBB-AC79814E2A50}" name="무" dataDxfId="84">
      <calculatedColumnFormula>COUNTIFS(챔스A[팀1 결과],F$10,챔스A[팀1],표2_4[[#This Row],[팀]])+COUNTIFS(챔스A[팀2 결과],F$10,챔스A[팀2],표2_4[[#This Row],[팀]])</calculatedColumnFormula>
    </tableColumn>
    <tableColumn id="5" xr3:uid="{A942781F-97CA-4729-9E3B-2B60619381F9}" name="패" dataDxfId="83">
      <calculatedColumnFormula>COUNTIFS(챔스A[팀1 결과],G$10,챔스A[팀1],표2_4[[#This Row],[팀]])+COUNTIFS(챔스A[팀2 결과],G$10,챔스A[팀2],표2_4[[#This Row],[팀]])</calculatedColumnFormula>
    </tableColumn>
    <tableColumn id="6" xr3:uid="{6CE21770-DDD3-4E7C-AF78-9AF253B37E47}" name="득점" dataDxfId="82">
      <calculatedColumnFormula>SUMIF(챔스A[팀1],표2_4[[#This Row],[팀]],챔스A[팀1 S])+SUMIF(챔스A[팀2],표2_4[[#This Row],[팀]],챔스A[팀2 S])</calculatedColumnFormula>
    </tableColumn>
    <tableColumn id="7" xr3:uid="{044FA533-91C4-453A-AD95-528BE3D76FF9}" name="실점" dataDxfId="81">
      <calculatedColumnFormula>SUMIF(챔스A[팀1],표2_4[[#This Row],[팀]],챔스A[팀2 S])+SUMIF(챔스A[팀2],표2_4[[#This Row],[팀]],챔스A[팀1 S])</calculatedColumnFormula>
    </tableColumn>
    <tableColumn id="8" xr3:uid="{5CAF2E93-82ED-4F26-BD6B-F43399844A79}" name="득실" dataDxfId="80">
      <calculatedColumnFormula>표2_4[[#This Row],[득점]]-표2_4[[#This Row],[실점]]</calculatedColumnFormula>
    </tableColumn>
    <tableColumn id="9" xr3:uid="{19167AC0-F839-4568-B6F9-E5201ECAFD83}" name="승점점수" dataDxfId="79">
      <calculatedColumnFormula>표2_4[[#This Row],[승]]*3+표2_4[[#This Row],[무]]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2A0D11-FC44-4B7C-AE58-4020B37ECFCE}" name="챔스A" displayName="챔스A" ref="D18:I30" totalsRowShown="0" headerRowDxfId="78" tableBorderDxfId="77">
  <autoFilter ref="D18:I30" xr:uid="{1E31C581-9F54-40C8-A5E4-AD82E1CFEBA3}"/>
  <sortState xmlns:xlrd2="http://schemas.microsoft.com/office/spreadsheetml/2017/richdata2" ref="D19:I30">
    <sortCondition descending="1" ref="E18:E30"/>
  </sortState>
  <tableColumns count="6">
    <tableColumn id="1" xr3:uid="{E11EF764-A2B6-4AD7-A92E-1214D0A72312}" name="팀1 결과" dataDxfId="76">
      <calculatedColumnFormula>IF(F19="","",IF(F19&gt;G19,"승",IF(F19=G19,"무",IF(F19&lt;G19,"패",""))))</calculatedColumnFormula>
    </tableColumn>
    <tableColumn id="2" xr3:uid="{8E2501E1-1846-44D2-AB19-4C19167C694C}" name="팀1" dataDxfId="75"/>
    <tableColumn id="3" xr3:uid="{A1EE6E5E-3A49-4B82-9419-0BC1949F86FB}" name="팀1 S" dataDxfId="74"/>
    <tableColumn id="4" xr3:uid="{BEFEC816-38C5-4DDA-9DC2-AA1C02BCB9D6}" name="팀2 S" dataDxfId="73"/>
    <tableColumn id="5" xr3:uid="{957923B1-60FC-4657-BC5D-A06D5925C809}" name="팀2" dataDxfId="72"/>
    <tableColumn id="6" xr3:uid="{D67ED0F1-B98C-468C-A7C7-0FF09D7CEDD0}" name="팀2 결과" dataDxfId="71">
      <calculatedColumnFormula>IF(D19="","",IF(D19="무","무",IF(D19="승","패","승")))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733118-E5ED-4284-952D-AC2C5758BE3C}" name="표2_46" displayName="표2_46" ref="N11:V15" totalsRowShown="0" headerRowDxfId="70" dataDxfId="69">
  <autoFilter ref="N11:V15" xr:uid="{41733118-E5ED-4284-952D-AC2C5758BE3C}"/>
  <tableColumns count="9">
    <tableColumn id="1" xr3:uid="{4F9D2760-BBF6-494C-8438-248F8EC63E64}" name="팀" dataDxfId="68">
      <calculatedColumnFormula>P32</calculatedColumnFormula>
    </tableColumn>
    <tableColumn id="2" xr3:uid="{96404A2C-8135-4962-82CD-DD6F955D5E21}" name="경기" dataDxfId="67">
      <calculatedColumnFormula>표2_46[[#This Row],[승]]+표2_46[[#This Row],[무]]+표2_46[[#This Row],[패]]</calculatedColumnFormula>
    </tableColumn>
    <tableColumn id="3" xr3:uid="{858120F2-FFAB-4A68-911A-473B18A6CF6F}" name="승" dataDxfId="66">
      <calculatedColumnFormula>COUNTIFS(챔스A_7[팀1 결과],P$10,챔스A_7[팀1],표2_46[[#This Row],[팀]])+COUNTIFS(챔스A_7[팀2 결과],P$10,챔스A_7[팀2],표2_46[[#This Row],[팀]])</calculatedColumnFormula>
    </tableColumn>
    <tableColumn id="4" xr3:uid="{A48EFA01-7536-4091-A24C-937167E6C84D}" name="무" dataDxfId="65">
      <calculatedColumnFormula>COUNTIFS(챔스A_7[팀1 결과],Q$10,챔스A_7[팀1],표2_46[[#This Row],[팀]])+COUNTIFS(챔스A_7[팀2 결과],Q$10,챔스A_7[팀2],표2_46[[#This Row],[팀]])</calculatedColumnFormula>
    </tableColumn>
    <tableColumn id="5" xr3:uid="{E493D34A-182F-4D97-B3DF-FD81BB031DDC}" name="패" dataDxfId="64">
      <calculatedColumnFormula>COUNTIFS(챔스A_7[팀1 결과],R$10,챔스A_7[팀1],표2_46[[#This Row],[팀]])+COUNTIFS(챔스A_7[팀2 결과],R$10,챔스A_7[팀2],표2_46[[#This Row],[팀]])</calculatedColumnFormula>
    </tableColumn>
    <tableColumn id="6" xr3:uid="{1B9F3E22-6856-4BB5-A61D-56106FCD8227}" name="득점" dataDxfId="63">
      <calculatedColumnFormula>SUMIF(챔스A_7[팀1],표2_46[[#This Row],[팀]],챔스A_7[팀1 S])+SUMIF(챔스A_7[팀2],표2_46[[#This Row],[팀]],챔스A_7[팀2 S])</calculatedColumnFormula>
    </tableColumn>
    <tableColumn id="7" xr3:uid="{83E94B4A-C208-4B88-A42D-614A16A7685E}" name="실점" dataDxfId="62">
      <calculatedColumnFormula>SUMIF(챔스A_7[팀1],표2_46[[#This Row],[팀]],챔스A_7[팀2 S])+SUMIF(챔스A_7[팀2],표2_46[[#This Row],[팀]],챔스A_7[팀1 S])</calculatedColumnFormula>
    </tableColumn>
    <tableColumn id="8" xr3:uid="{82DC0C80-2CC8-4C82-BA0A-A072BA6CB33C}" name="득실" dataDxfId="61">
      <calculatedColumnFormula>표2_46[[#This Row],[득점]]-표2_46[[#This Row],[실점]]</calculatedColumnFormula>
    </tableColumn>
    <tableColumn id="9" xr3:uid="{1B3A99D6-12D7-42C1-9A03-FB89DF444020}" name="승점점수" dataDxfId="60">
      <calculatedColumnFormula>표2_46[[#This Row],[승]]*3+표2_46[[#This Row],[무]]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61B7DF-7976-474B-B4A9-137C5220462D}" name="표2_468" displayName="표2_468" ref="Y11:AG15" totalsRowShown="0" headerRowDxfId="59" dataDxfId="58">
  <autoFilter ref="Y11:AG15" xr:uid="{B361B7DF-7976-474B-B4A9-137C5220462D}"/>
  <tableColumns count="9">
    <tableColumn id="1" xr3:uid="{AC0B1707-4C21-4C3E-8D5F-269637B80BAD}" name="팀" dataDxfId="57">
      <calculatedColumnFormula>AA32</calculatedColumnFormula>
    </tableColumn>
    <tableColumn id="2" xr3:uid="{75FEE8BF-4F70-498C-BE7B-5C13D99BCBFD}" name="경기" dataDxfId="56">
      <calculatedColumnFormula>표2_468[[#This Row],[승]]+표2_468[[#This Row],[무]]+표2_468[[#This Row],[패]]</calculatedColumnFormula>
    </tableColumn>
    <tableColumn id="3" xr3:uid="{6272A817-176B-4EE3-BF31-164F4F9E4D64}" name="승" dataDxfId="55">
      <calculatedColumnFormula>COUNTIFS(챔스A_79[팀1 결과],AA$10,챔스A_79[팀1],표2_468[[#This Row],[팀]])+COUNTIFS(챔스A_79[팀2 결과],AA$10,챔스A_79[팀2],표2_468[[#This Row],[팀]])</calculatedColumnFormula>
    </tableColumn>
    <tableColumn id="4" xr3:uid="{CB5BF371-C246-473B-BE0B-C125362D0563}" name="무" dataDxfId="54">
      <calculatedColumnFormula>COUNTIFS(챔스A_79[팀1 결과],AB$10,챔스A_79[팀1],표2_468[[#This Row],[팀]])+COUNTIFS(챔스A_79[팀2 결과],AB$10,챔스A_79[팀2],표2_468[[#This Row],[팀]])</calculatedColumnFormula>
    </tableColumn>
    <tableColumn id="5" xr3:uid="{2DA77BC4-B881-4F67-868B-2349686F2D2B}" name="패" dataDxfId="53">
      <calculatedColumnFormula>COUNTIFS(챔스A_79[팀1 결과],AC$10,챔스A_79[팀1],표2_468[[#This Row],[팀]])+COUNTIFS(챔스A_79[팀2 결과],AC$10,챔스A_79[팀2],표2_468[[#This Row],[팀]])</calculatedColumnFormula>
    </tableColumn>
    <tableColumn id="6" xr3:uid="{D6749B3A-9FE4-41CA-A8B3-BACF11B97068}" name="득점" dataDxfId="52">
      <calculatedColumnFormula>SUMIF(챔스A_79[팀1],표2_468[[#This Row],[팀]],챔스A_79[팀1 S])+SUMIF(챔스A_79[팀2],표2_468[[#This Row],[팀]],챔스A_79[팀2 S])</calculatedColumnFormula>
    </tableColumn>
    <tableColumn id="7" xr3:uid="{60C9A121-DBB3-4044-B64A-8305617DA64D}" name="실점" dataDxfId="51">
      <calculatedColumnFormula>SUMIF(챔스A_79[팀1],표2_468[[#This Row],[팀]],챔스A_79[팀2 S])+SUMIF(챔스A_79[팀2],표2_468[[#This Row],[팀]],챔스A_79[팀1 S])</calculatedColumnFormula>
    </tableColumn>
    <tableColumn id="8" xr3:uid="{05F16D70-1D7C-4174-AAE8-EA412AD63E50}" name="득실" dataDxfId="50">
      <calculatedColumnFormula>표2_468[[#This Row],[득점]]-표2_468[[#This Row],[실점]]</calculatedColumnFormula>
    </tableColumn>
    <tableColumn id="9" xr3:uid="{9CC8C632-3EEC-4AB0-BD60-D0B4A45C3942}" name="승점점수" dataDxfId="49">
      <calculatedColumnFormula>표2_468[[#This Row],[승]]*3+표2_468[[#This Row],[무]]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B5F86C-A9EE-4B80-A69A-F6EACC14FCE9}" name="챔스A_79" displayName="챔스A_79" ref="Z18:AE30" totalsRowShown="0" headerRowDxfId="48" tableBorderDxfId="47">
  <autoFilter ref="Z18:AE30" xr:uid="{C3B5F86C-A9EE-4B80-A69A-F6EACC14FCE9}"/>
  <sortState xmlns:xlrd2="http://schemas.microsoft.com/office/spreadsheetml/2017/richdata2" ref="Z19:AE30">
    <sortCondition descending="1" ref="AA18:AA30"/>
  </sortState>
  <tableColumns count="6">
    <tableColumn id="1" xr3:uid="{89224916-7773-4AA6-B629-CFE34E34ED57}" name="팀1 결과" dataDxfId="46">
      <calculatedColumnFormula>IF(AB19="","",IF(AB19&gt;AC19,"승",IF(AB19=AC19,"무",IF(AB19&lt;AC19,"패",""))))</calculatedColumnFormula>
    </tableColumn>
    <tableColumn id="2" xr3:uid="{31B22EEA-2D70-41AF-AE64-F3C37957B2EB}" name="팀1" dataDxfId="45"/>
    <tableColumn id="3" xr3:uid="{90EA4483-0F0D-4826-A511-ECC137867928}" name="팀1 S" dataDxfId="44"/>
    <tableColumn id="4" xr3:uid="{79B9C439-FFFC-4C36-A583-A1F42BC867CA}" name="팀2 S" dataDxfId="43"/>
    <tableColumn id="5" xr3:uid="{70980E0D-FDB4-45EC-BB32-67F0575241FA}" name="팀2" dataDxfId="42"/>
    <tableColumn id="6" xr3:uid="{29AF4FD3-4962-4DB3-8BAF-98323CDFD01F}" name="팀2 결과" dataDxfId="41">
      <calculatedColumnFormula>IF(Z19="","",IF(Z19="무","무",IF(Z19="승","패","승")))</calculatedColumnFormula>
    </tableColumn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F5B9E1-371F-49B3-B2F1-4796A0DE711F}" name="표2_46810" displayName="표2_46810" ref="AJ11:AR14" totalsRowShown="0" headerRowDxfId="40" dataDxfId="39">
  <autoFilter ref="AJ11:AR14" xr:uid="{EEF5B9E1-371F-49B3-B2F1-4796A0DE711F}"/>
  <tableColumns count="9">
    <tableColumn id="1" xr3:uid="{242F2106-8ECB-4C44-A88A-1C774D609F3D}" name="팀" dataDxfId="38">
      <calculatedColumnFormula>AL26</calculatedColumnFormula>
    </tableColumn>
    <tableColumn id="2" xr3:uid="{86772F0C-6E50-4C0D-8144-329F0EDB328F}" name="경기" dataDxfId="37">
      <calculatedColumnFormula>표2_46810[[#This Row],[승]]+표2_46810[[#This Row],[무]]+표2_46810[[#This Row],[패]]</calculatedColumnFormula>
    </tableColumn>
    <tableColumn id="3" xr3:uid="{734A8FF2-C352-41D1-AD7B-FB809CCAE516}" name="승" dataDxfId="36">
      <calculatedColumnFormula>COUNTIFS(챔스A_7911[팀1 결과],AL$10,챔스A_7911[팀1],표2_46810[[#This Row],[팀]])+COUNTIFS(챔스A_7911[팀2 결과],AL$10,챔스A_7911[팀2],표2_46810[[#This Row],[팀]])</calculatedColumnFormula>
    </tableColumn>
    <tableColumn id="4" xr3:uid="{65C11A88-6CE0-46E7-B9E3-8F514B131964}" name="무" dataDxfId="35">
      <calculatedColumnFormula>COUNTIFS(챔스A_7911[팀1 결과],AM$10,챔스A_7911[팀1],표2_46810[[#This Row],[팀]])+COUNTIFS(챔스A_7911[팀2 결과],AM$10,챔스A_7911[팀2],표2_46810[[#This Row],[팀]])</calculatedColumnFormula>
    </tableColumn>
    <tableColumn id="5" xr3:uid="{39A8E894-9FD9-4E35-B131-98DD425C7243}" name="패" dataDxfId="34">
      <calculatedColumnFormula>COUNTIFS(챔스A_7911[팀1 결과],AN$10,챔스A_7911[팀1],표2_46810[[#This Row],[팀]])+COUNTIFS(챔스A_7911[팀2 결과],AN$10,챔스A_7911[팀2],표2_46810[[#This Row],[팀]])</calculatedColumnFormula>
    </tableColumn>
    <tableColumn id="6" xr3:uid="{5885A0F7-590E-410D-9DD7-458966C5E3CC}" name="득점" dataDxfId="33">
      <calculatedColumnFormula>SUMIF(챔스A_7911[팀1],표2_46810[[#This Row],[팀]],챔스A_7911[팀1 S])+SUMIF(챔스A_7911[팀2],표2_46810[[#This Row],[팀]],챔스A_7911[팀2 S])</calculatedColumnFormula>
    </tableColumn>
    <tableColumn id="7" xr3:uid="{D530D4D9-20E8-4675-8294-6DA57494EAB6}" name="실점" dataDxfId="32">
      <calculatedColumnFormula>SUMIF(챔스A_7911[팀1],표2_46810[[#This Row],[팀]],챔스A_7911[팀2 S])+SUMIF(챔스A_7911[팀2],표2_46810[[#This Row],[팀]],챔스A_7911[팀1 S])</calculatedColumnFormula>
    </tableColumn>
    <tableColumn id="8" xr3:uid="{E39B0713-A41A-48E7-B365-95C31F55B4FC}" name="득실" dataDxfId="31">
      <calculatedColumnFormula>표2_46810[[#This Row],[득점]]-표2_46810[[#This Row],[실점]]</calculatedColumnFormula>
    </tableColumn>
    <tableColumn id="9" xr3:uid="{5A4D45FB-33E5-41BD-840B-2BB6252B15BD}" name="승점점수" dataDxfId="30">
      <calculatedColumnFormula>표2_46810[[#This Row],[승]]*3+표2_46810[[#This Row],[무]]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DA4D7D-F1C1-4388-A07E-8AD204AA74A6}" name="챔스A_7911" displayName="챔스A_7911" ref="AK18:AP24" totalsRowShown="0" headerRowDxfId="29" tableBorderDxfId="28">
  <autoFilter ref="AK18:AP24" xr:uid="{BCDA4D7D-F1C1-4388-A07E-8AD204AA74A6}"/>
  <sortState xmlns:xlrd2="http://schemas.microsoft.com/office/spreadsheetml/2017/richdata2" ref="AK19:AP24">
    <sortCondition descending="1" ref="AL18:AL24"/>
  </sortState>
  <tableColumns count="6">
    <tableColumn id="1" xr3:uid="{FD186B25-3AB1-4EAD-82A3-864E7A3522CF}" name="팀1 결과" dataDxfId="27"/>
    <tableColumn id="2" xr3:uid="{344F78FE-8637-41BE-8A63-6B0F3875A8F3}" name="팀1" dataDxfId="26"/>
    <tableColumn id="3" xr3:uid="{F407A39D-A3EE-4CBF-B031-9D46F9200D29}" name="팀1 S" dataDxfId="25"/>
    <tableColumn id="4" xr3:uid="{99B2B1BF-0D33-4CFB-BBAF-1DF86A623DBC}" name="팀2 S" dataDxfId="24"/>
    <tableColumn id="5" xr3:uid="{DF95546A-8C8E-466B-9117-3285A8D34FD9}" name="팀2" dataDxfId="23"/>
    <tableColumn id="6" xr3:uid="{E588D62D-F151-485A-A6B8-4554CCBAB33C}" name="팀2 결과" dataDxfId="22">
      <calculatedColumnFormula>IF(AK19="","",IF(AK19="무","무",IF(AK19="승","패","승")))</calculatedColumnFormula>
    </tableColumn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BC9482-DBE4-4095-96E8-BA7DDDD128DA}" name="챔스A_7" displayName="챔스A_7" ref="O18:T30" totalsRowShown="0" headerRowDxfId="21" tableBorderDxfId="20">
  <autoFilter ref="O18:T30" xr:uid="{14BC9482-DBE4-4095-96E8-BA7DDDD128DA}"/>
  <sortState xmlns:xlrd2="http://schemas.microsoft.com/office/spreadsheetml/2017/richdata2" ref="O19:T30">
    <sortCondition descending="1" ref="P18:P30"/>
  </sortState>
  <tableColumns count="6">
    <tableColumn id="1" xr3:uid="{14DCC67E-0974-47E0-B403-E734477F84FF}" name="팀1 결과" dataDxfId="19"/>
    <tableColumn id="2" xr3:uid="{6FA6EA59-DC63-4559-8168-17AF621A8E15}" name="팀1" dataDxfId="18"/>
    <tableColumn id="3" xr3:uid="{B81241E7-F326-4201-A01F-173540363345}" name="팀1 S" dataDxfId="17"/>
    <tableColumn id="4" xr3:uid="{21C1BB1A-A72C-4EF2-AA6D-78976683F8C7}" name="팀2 S" dataDxfId="16"/>
    <tableColumn id="5" xr3:uid="{15929D31-016E-4E57-B850-A2CD06C49022}" name="팀2" dataDxfId="15"/>
    <tableColumn id="6" xr3:uid="{B0142E18-F0CE-4288-8951-F04F18C3BCBB}" name="팀2 결과" dataDxfId="14">
      <calculatedColumnFormula>IF(O19="","",IF(O19="무","무",IF(O19="승","패","승")))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A045-54AA-42B6-9713-E3D5B1C69C41}">
  <dimension ref="B3:O20"/>
  <sheetViews>
    <sheetView topLeftCell="A5" zoomScale="145" zoomScaleNormal="145" workbookViewId="0">
      <selection activeCell="G18" sqref="G18"/>
    </sheetView>
  </sheetViews>
  <sheetFormatPr defaultRowHeight="15.7" x14ac:dyDescent="0.3"/>
  <cols>
    <col min="2" max="2" width="16.625" customWidth="1"/>
    <col min="6" max="6" width="1.625" customWidth="1"/>
    <col min="7" max="7" width="16.625" customWidth="1"/>
    <col min="11" max="11" width="1.625" customWidth="1"/>
    <col min="12" max="12" width="19.875" customWidth="1"/>
  </cols>
  <sheetData>
    <row r="3" spans="2:15" ht="16.399999999999999" thickBot="1" x14ac:dyDescent="0.35"/>
    <row r="4" spans="2:15" s="14" customFormat="1" ht="34.25" customHeight="1" thickBot="1" x14ac:dyDescent="0.35">
      <c r="B4" s="150" t="s">
        <v>0</v>
      </c>
      <c r="C4" s="151"/>
      <c r="D4" s="151"/>
      <c r="E4" s="152"/>
      <c r="F4" s="13"/>
      <c r="G4" s="150" t="s">
        <v>11</v>
      </c>
      <c r="H4" s="151"/>
      <c r="I4" s="151"/>
      <c r="J4" s="152"/>
      <c r="L4" s="150" t="s">
        <v>22</v>
      </c>
      <c r="M4" s="151"/>
      <c r="N4" s="151"/>
      <c r="O4" s="152"/>
    </row>
    <row r="5" spans="2:15" ht="28.55" customHeight="1" x14ac:dyDescent="0.3">
      <c r="B5" s="149" t="s">
        <v>26</v>
      </c>
      <c r="C5" s="149"/>
      <c r="D5" s="149"/>
      <c r="E5" s="149"/>
      <c r="F5" s="1"/>
      <c r="G5" s="149" t="s">
        <v>25</v>
      </c>
      <c r="H5" s="149"/>
      <c r="I5" s="149"/>
      <c r="J5" s="149"/>
      <c r="L5" s="149" t="s">
        <v>24</v>
      </c>
      <c r="M5" s="149"/>
      <c r="N5" s="149"/>
      <c r="O5" s="149"/>
    </row>
    <row r="6" spans="2:15" ht="28.55" customHeight="1" x14ac:dyDescent="0.3">
      <c r="L6" s="149" t="s">
        <v>23</v>
      </c>
      <c r="M6" s="149"/>
      <c r="N6" s="149"/>
      <c r="O6" s="149"/>
    </row>
    <row r="7" spans="2:15" ht="16.399999999999999" thickBot="1" x14ac:dyDescent="0.35">
      <c r="L7" s="1"/>
      <c r="M7" s="1"/>
      <c r="N7" s="1"/>
      <c r="O7" s="1"/>
    </row>
    <row r="8" spans="2:15" ht="16.399999999999999" thickBot="1" x14ac:dyDescent="0.35">
      <c r="B8" s="6" t="s">
        <v>20</v>
      </c>
      <c r="C8" s="9" t="s">
        <v>18</v>
      </c>
      <c r="D8" s="3" t="s">
        <v>19</v>
      </c>
      <c r="G8" s="6" t="s">
        <v>28</v>
      </c>
      <c r="H8" s="9" t="s">
        <v>29</v>
      </c>
      <c r="I8" s="3" t="s">
        <v>30</v>
      </c>
    </row>
    <row r="9" spans="2:15" ht="21.95" customHeight="1" x14ac:dyDescent="0.3">
      <c r="B9" s="112" t="s">
        <v>1</v>
      </c>
      <c r="C9" s="113" t="s">
        <v>83</v>
      </c>
      <c r="D9" s="114" t="s">
        <v>83</v>
      </c>
      <c r="G9" s="115" t="s">
        <v>12</v>
      </c>
      <c r="H9" s="116"/>
      <c r="I9" s="117"/>
      <c r="L9" s="41" t="s">
        <v>27</v>
      </c>
      <c r="M9" s="42" t="s">
        <v>16</v>
      </c>
    </row>
    <row r="10" spans="2:15" ht="21.95" customHeight="1" thickBot="1" x14ac:dyDescent="0.35">
      <c r="B10" s="7" t="s">
        <v>33</v>
      </c>
      <c r="C10" s="82" t="s">
        <v>83</v>
      </c>
      <c r="D10" s="83" t="s">
        <v>83</v>
      </c>
      <c r="G10" s="7" t="s">
        <v>13</v>
      </c>
      <c r="H10" s="82" t="s">
        <v>83</v>
      </c>
      <c r="I10" s="83" t="s">
        <v>83</v>
      </c>
      <c r="L10" s="130" t="s">
        <v>85</v>
      </c>
      <c r="M10" s="131" t="s">
        <v>32</v>
      </c>
    </row>
    <row r="11" spans="2:15" ht="21.95" customHeight="1" x14ac:dyDescent="0.3">
      <c r="B11" s="7" t="s">
        <v>2</v>
      </c>
      <c r="C11" s="11" t="s">
        <v>15</v>
      </c>
      <c r="D11" s="4" t="s">
        <v>32</v>
      </c>
      <c r="G11" s="7" t="s">
        <v>21</v>
      </c>
      <c r="H11" s="82" t="s">
        <v>83</v>
      </c>
      <c r="I11" s="83" t="s">
        <v>83</v>
      </c>
      <c r="L11" s="2"/>
    </row>
    <row r="12" spans="2:15" ht="21.95" customHeight="1" thickBot="1" x14ac:dyDescent="0.35">
      <c r="B12" s="132" t="s">
        <v>3</v>
      </c>
      <c r="C12" s="133" t="s">
        <v>17</v>
      </c>
      <c r="D12" s="134" t="s">
        <v>17</v>
      </c>
      <c r="E12" s="135"/>
      <c r="G12" s="8"/>
      <c r="H12" s="12"/>
      <c r="I12" s="5"/>
      <c r="L12" s="2"/>
    </row>
    <row r="13" spans="2:15" ht="21.95" customHeight="1" x14ac:dyDescent="0.3">
      <c r="B13" s="118" t="s">
        <v>4</v>
      </c>
      <c r="C13" s="119"/>
      <c r="D13" s="120"/>
    </row>
    <row r="14" spans="2:15" ht="21.95" customHeight="1" x14ac:dyDescent="0.3">
      <c r="B14" s="7" t="s">
        <v>5</v>
      </c>
      <c r="C14" s="82" t="s">
        <v>83</v>
      </c>
      <c r="D14" s="83" t="s">
        <v>83</v>
      </c>
    </row>
    <row r="15" spans="2:15" ht="21.95" customHeight="1" x14ac:dyDescent="0.3">
      <c r="B15" s="7" t="s">
        <v>6</v>
      </c>
      <c r="C15" s="82" t="s">
        <v>83</v>
      </c>
      <c r="D15" s="83" t="s">
        <v>83</v>
      </c>
    </row>
    <row r="16" spans="2:15" ht="21.95" customHeight="1" x14ac:dyDescent="0.3">
      <c r="B16" s="7" t="s">
        <v>7</v>
      </c>
      <c r="C16" s="82" t="s">
        <v>16</v>
      </c>
      <c r="D16" s="83" t="s">
        <v>16</v>
      </c>
    </row>
    <row r="17" spans="2:4" ht="21.95" customHeight="1" x14ac:dyDescent="0.3">
      <c r="B17" s="7" t="s">
        <v>8</v>
      </c>
      <c r="C17" s="11" t="s">
        <v>16</v>
      </c>
      <c r="D17" s="4" t="s">
        <v>16</v>
      </c>
    </row>
    <row r="18" spans="2:4" ht="21.95" customHeight="1" x14ac:dyDescent="0.3">
      <c r="B18" s="7" t="s">
        <v>9</v>
      </c>
      <c r="C18" s="11" t="s">
        <v>15</v>
      </c>
      <c r="D18" s="4" t="s">
        <v>17</v>
      </c>
    </row>
    <row r="19" spans="2:4" ht="21.95" customHeight="1" thickBot="1" x14ac:dyDescent="0.35">
      <c r="B19" s="8" t="s">
        <v>10</v>
      </c>
      <c r="C19" s="43" t="s">
        <v>16</v>
      </c>
      <c r="D19" s="44" t="s">
        <v>16</v>
      </c>
    </row>
    <row r="20" spans="2:4" x14ac:dyDescent="0.3">
      <c r="C20" s="1"/>
      <c r="D20" s="1"/>
    </row>
  </sheetData>
  <mergeCells count="7">
    <mergeCell ref="L6:O6"/>
    <mergeCell ref="B5:E5"/>
    <mergeCell ref="B4:E4"/>
    <mergeCell ref="G4:J4"/>
    <mergeCell ref="G5:J5"/>
    <mergeCell ref="L4:O4"/>
    <mergeCell ref="L5:O5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230D-C5FF-44E4-AF27-BFA6E36CB45E}">
  <dimension ref="B1:AD112"/>
  <sheetViews>
    <sheetView showGridLines="0" zoomScale="115" zoomScaleNormal="115" workbookViewId="0">
      <selection activeCell="R13" sqref="R13"/>
    </sheetView>
  </sheetViews>
  <sheetFormatPr defaultRowHeight="15.7" x14ac:dyDescent="0.3"/>
  <cols>
    <col min="3" max="3" width="14.875" customWidth="1"/>
    <col min="4" max="4" width="13.5" customWidth="1"/>
    <col min="5" max="5" width="9" customWidth="1"/>
    <col min="6" max="8" width="6.125" customWidth="1"/>
    <col min="9" max="10" width="6.5" customWidth="1"/>
    <col min="11" max="11" width="8.375" customWidth="1"/>
    <col min="13" max="13" width="10.875" bestFit="1" customWidth="1"/>
    <col min="16" max="16" width="13.75" customWidth="1"/>
    <col min="17" max="18" width="7.75" customWidth="1"/>
    <col min="19" max="19" width="13.75" customWidth="1"/>
    <col min="22" max="30" width="9" customWidth="1"/>
  </cols>
  <sheetData>
    <row r="1" spans="2:30" ht="16.399999999999999" thickBot="1" x14ac:dyDescent="0.35"/>
    <row r="2" spans="2:30" ht="15.7" customHeight="1" thickBot="1" x14ac:dyDescent="0.35">
      <c r="B2" s="93" t="s">
        <v>64</v>
      </c>
      <c r="C2" s="89" t="s">
        <v>20</v>
      </c>
      <c r="D2" s="84" t="s">
        <v>65</v>
      </c>
      <c r="E2" s="64" t="s">
        <v>62</v>
      </c>
      <c r="F2" s="62" t="s">
        <v>17</v>
      </c>
      <c r="G2" s="62" t="s">
        <v>15</v>
      </c>
      <c r="H2" s="62" t="s">
        <v>32</v>
      </c>
      <c r="I2" s="63" t="s">
        <v>55</v>
      </c>
      <c r="J2" s="62" t="s">
        <v>57</v>
      </c>
      <c r="K2" s="84" t="s">
        <v>59</v>
      </c>
      <c r="M2" s="62" t="s">
        <v>84</v>
      </c>
      <c r="O2" s="27" t="s">
        <v>48</v>
      </c>
      <c r="P2" s="28" t="s">
        <v>49</v>
      </c>
      <c r="Q2" s="29" t="s">
        <v>50</v>
      </c>
      <c r="R2" s="17" t="s">
        <v>51</v>
      </c>
      <c r="S2" s="18" t="s">
        <v>52</v>
      </c>
      <c r="T2" s="19" t="s">
        <v>53</v>
      </c>
      <c r="Y2" s="1" t="s">
        <v>17</v>
      </c>
      <c r="Z2" s="1" t="s">
        <v>15</v>
      </c>
      <c r="AA2" s="1" t="s">
        <v>32</v>
      </c>
    </row>
    <row r="3" spans="2:30" ht="24.25" customHeight="1" thickBot="1" x14ac:dyDescent="0.35">
      <c r="B3" s="94">
        <v>1</v>
      </c>
      <c r="C3" s="90" t="str" cm="1">
        <f t="array" ref="C3:K6">_xlfn._xlws.SORT(_xlfn._xlws.SORT(_xlfn._xlws.SORT(_xlfn._xlws.SORT((_xlfn._xlws.FILTER(표2_12[],표2_12[경기]&gt;(-1),)),7,1),6,-1),8,-1),2,-1)</f>
        <v>돌문</v>
      </c>
      <c r="D3" s="85">
        <v>11</v>
      </c>
      <c r="E3" s="59">
        <v>6</v>
      </c>
      <c r="F3" s="57">
        <v>3</v>
      </c>
      <c r="G3" s="57">
        <v>2</v>
      </c>
      <c r="H3" s="57">
        <v>1</v>
      </c>
      <c r="I3" s="58">
        <v>19</v>
      </c>
      <c r="J3" s="57">
        <v>17</v>
      </c>
      <c r="K3" s="95">
        <v>2</v>
      </c>
      <c r="M3" s="108">
        <f>D3/E3</f>
        <v>1.8333333333333333</v>
      </c>
      <c r="O3" s="30" t="str">
        <f t="shared" ref="O3:O14" si="0">IF(Q3="","",IF(Q3&gt;R3,"승",IF(Q3=R3,"무",IF(Q3&lt;R3,"패",""))))</f>
        <v>승</v>
      </c>
      <c r="P3" s="10" t="s">
        <v>81</v>
      </c>
      <c r="Q3" s="31">
        <v>4</v>
      </c>
      <c r="R3" s="20">
        <v>1</v>
      </c>
      <c r="S3" s="10" t="s">
        <v>73</v>
      </c>
      <c r="T3" s="21" t="str">
        <f t="shared" ref="T3:T14" si="1">IF(O3="","",IF(O3="무","무",IF(O3="승","패","승")))</f>
        <v>패</v>
      </c>
    </row>
    <row r="4" spans="2:30" ht="24.25" customHeight="1" thickBot="1" x14ac:dyDescent="0.35">
      <c r="B4" s="96">
        <v>2</v>
      </c>
      <c r="C4" s="91" t="str">
        <v>맨유</v>
      </c>
      <c r="D4" s="86">
        <v>7</v>
      </c>
      <c r="E4" s="52">
        <v>6</v>
      </c>
      <c r="F4" s="50">
        <v>2</v>
      </c>
      <c r="G4" s="50">
        <v>1</v>
      </c>
      <c r="H4" s="50">
        <v>3</v>
      </c>
      <c r="I4" s="51">
        <v>18</v>
      </c>
      <c r="J4" s="50">
        <v>19</v>
      </c>
      <c r="K4" s="97">
        <v>-1</v>
      </c>
      <c r="M4" s="109">
        <f t="shared" ref="M4:M13" si="2">D4/E4</f>
        <v>1.1666666666666667</v>
      </c>
      <c r="O4" s="32" t="str">
        <f t="shared" si="0"/>
        <v>무</v>
      </c>
      <c r="P4" s="11" t="s">
        <v>81</v>
      </c>
      <c r="Q4" s="33">
        <v>3</v>
      </c>
      <c r="R4" s="22">
        <v>3</v>
      </c>
      <c r="S4" s="11" t="s">
        <v>73</v>
      </c>
      <c r="T4" s="23" t="str">
        <f t="shared" si="1"/>
        <v>무</v>
      </c>
      <c r="V4" s="1" t="s">
        <v>63</v>
      </c>
      <c r="W4" s="1" t="s">
        <v>60</v>
      </c>
      <c r="X4" s="1" t="s">
        <v>61</v>
      </c>
      <c r="Y4" s="1" t="s">
        <v>16</v>
      </c>
      <c r="Z4" s="1" t="s">
        <v>14</v>
      </c>
      <c r="AA4" s="1" t="s">
        <v>31</v>
      </c>
      <c r="AB4" s="1" t="s">
        <v>54</v>
      </c>
      <c r="AC4" s="1" t="s">
        <v>56</v>
      </c>
      <c r="AD4" s="1" t="s">
        <v>58</v>
      </c>
    </row>
    <row r="5" spans="2:30" ht="24.25" customHeight="1" thickBot="1" x14ac:dyDescent="0.35">
      <c r="B5" s="98">
        <v>3</v>
      </c>
      <c r="C5" s="92" t="str">
        <v>뉴캐슬</v>
      </c>
      <c r="D5" s="87">
        <v>7</v>
      </c>
      <c r="E5" s="48">
        <v>4</v>
      </c>
      <c r="F5" s="46">
        <v>2</v>
      </c>
      <c r="G5" s="46">
        <v>1</v>
      </c>
      <c r="H5" s="46">
        <v>1</v>
      </c>
      <c r="I5" s="47">
        <v>14</v>
      </c>
      <c r="J5" s="46">
        <v>10</v>
      </c>
      <c r="K5" s="99">
        <v>4</v>
      </c>
      <c r="M5" s="110">
        <f t="shared" si="2"/>
        <v>1.75</v>
      </c>
      <c r="O5" s="32" t="str">
        <f t="shared" si="0"/>
        <v>무</v>
      </c>
      <c r="P5" s="11" t="s">
        <v>81</v>
      </c>
      <c r="Q5" s="33">
        <v>3</v>
      </c>
      <c r="R5" s="22">
        <v>3</v>
      </c>
      <c r="S5" s="11" t="s">
        <v>79</v>
      </c>
      <c r="T5" s="23" t="str">
        <f t="shared" si="1"/>
        <v>무</v>
      </c>
      <c r="V5" s="1" t="s">
        <v>86</v>
      </c>
      <c r="W5" s="1">
        <f>표2_12[[#This Row],[승]]*3+표2_12[[#This Row],[무]]</f>
        <v>11</v>
      </c>
      <c r="X5" s="1">
        <f>표2_12[[#This Row],[승]]+표2_12[[#This Row],[무]]+표2_12[[#This Row],[패]]</f>
        <v>6</v>
      </c>
      <c r="Y5" s="1">
        <f>COUNTIFS(표1_13[팀1 결과],Y$2,표1_13[팀1],표2_12[[#This Row],[팀]])+COUNTIFS(표1_13[팀2 결과],Y$2,표1_13[팀2],표2_12[[#This Row],[팀]])</f>
        <v>3</v>
      </c>
      <c r="Z5" s="1">
        <f>COUNTIFS(표1_13[팀1 결과],Z$2,표1_13[팀1],표2_12[[#This Row],[팀]])+COUNTIFS(표1_13[팀2 결과],Z$2,표1_13[팀2],표2_12[[#This Row],[팀]])</f>
        <v>2</v>
      </c>
      <c r="AA5" s="1">
        <f>COUNTIFS(표1_13[팀1 결과],AA$2,표1_13[팀1],표2_12[[#This Row],[팀]])+COUNTIFS(표1_13[팀2 결과],AA$2,표1_13[팀2],표2_12[[#This Row],[팀]])</f>
        <v>1</v>
      </c>
      <c r="AB5" s="1">
        <f>SUMIF(표1_13[팀1],표2_12[[#This Row],[팀]],표1_13[팀1 S])+SUMIF(표1_13[팀2],표2_12[[#This Row],[팀]],표1_13[팀2 S])</f>
        <v>19</v>
      </c>
      <c r="AC5" s="1">
        <f>SUMIF(표1_13[팀1],표2_12[[#This Row],[팀]],표1_13[팀2 S])+SUMIF(표1_13[팀2],표2_12[[#This Row],[팀]],표1_13[팀1 S])</f>
        <v>17</v>
      </c>
      <c r="AD5" s="1">
        <f>표2_12[[#This Row],[득점]]-표2_12[[#This Row],[실점]]</f>
        <v>2</v>
      </c>
    </row>
    <row r="6" spans="2:30" ht="24.25" customHeight="1" thickBot="1" x14ac:dyDescent="0.35">
      <c r="B6" s="121">
        <v>4</v>
      </c>
      <c r="C6" s="122" t="str">
        <v>레알</v>
      </c>
      <c r="D6" s="123">
        <v>3</v>
      </c>
      <c r="E6" s="80">
        <v>4</v>
      </c>
      <c r="F6" s="78">
        <v>1</v>
      </c>
      <c r="G6" s="78">
        <v>0</v>
      </c>
      <c r="H6" s="78">
        <v>3</v>
      </c>
      <c r="I6" s="79">
        <v>8</v>
      </c>
      <c r="J6" s="78">
        <v>13</v>
      </c>
      <c r="K6" s="124">
        <v>-5</v>
      </c>
      <c r="M6" s="109">
        <f t="shared" si="2"/>
        <v>0.75</v>
      </c>
      <c r="O6" s="32" t="str">
        <f t="shared" si="0"/>
        <v>패</v>
      </c>
      <c r="P6" s="11" t="s">
        <v>81</v>
      </c>
      <c r="Q6" s="33">
        <v>2</v>
      </c>
      <c r="R6" s="22">
        <v>6</v>
      </c>
      <c r="S6" s="11" t="s">
        <v>79</v>
      </c>
      <c r="T6" s="23" t="str">
        <f t="shared" si="1"/>
        <v>승</v>
      </c>
      <c r="V6" s="1" t="s">
        <v>87</v>
      </c>
      <c r="W6" s="1">
        <f>표2_12[[#This Row],[승]]*3+표2_12[[#This Row],[무]]</f>
        <v>7</v>
      </c>
      <c r="X6" s="1">
        <f>표2_12[[#This Row],[승]]+표2_12[[#This Row],[무]]+표2_12[[#This Row],[패]]</f>
        <v>4</v>
      </c>
      <c r="Y6" s="1">
        <f>COUNTIFS(표1_13[팀1 결과],Y$2,표1_13[팀1],표2_12[[#This Row],[팀]])+COUNTIFS(표1_13[팀2 결과],Y$2,표1_13[팀2],표2_12[[#This Row],[팀]])</f>
        <v>2</v>
      </c>
      <c r="Z6" s="1">
        <f>COUNTIFS(표1_13[팀1 결과],Z$2,표1_13[팀1],표2_12[[#This Row],[팀]])+COUNTIFS(표1_13[팀2 결과],Z$2,표1_13[팀2],표2_12[[#This Row],[팀]])</f>
        <v>1</v>
      </c>
      <c r="AA6" s="1">
        <f>COUNTIFS(표1_13[팀1 결과],AA$2,표1_13[팀1],표2_12[[#This Row],[팀]])+COUNTIFS(표1_13[팀2 결과],AA$2,표1_13[팀2],표2_12[[#This Row],[팀]])</f>
        <v>1</v>
      </c>
      <c r="AB6" s="1">
        <f>SUMIF(표1_13[팀1],표2_12[[#This Row],[팀]],표1_13[팀1 S])+SUMIF(표1_13[팀2],표2_12[[#This Row],[팀]],표1_13[팀2 S])</f>
        <v>14</v>
      </c>
      <c r="AC6" s="1">
        <f>SUMIF(표1_13[팀1],표2_12[[#This Row],[팀]],표1_13[팀2 S])+SUMIF(표1_13[팀2],표2_12[[#This Row],[팀]],표1_13[팀1 S])</f>
        <v>10</v>
      </c>
      <c r="AD6" s="1">
        <f>표2_12[[#This Row],[득점]]-표2_12[[#This Row],[실점]]</f>
        <v>4</v>
      </c>
    </row>
    <row r="7" spans="2:30" ht="24.25" customHeight="1" thickBot="1" x14ac:dyDescent="0.35">
      <c r="M7" s="110" t="e">
        <f t="shared" si="2"/>
        <v>#DIV/0!</v>
      </c>
      <c r="O7" s="32" t="str">
        <f t="shared" si="0"/>
        <v>승</v>
      </c>
      <c r="P7" s="11" t="s">
        <v>81</v>
      </c>
      <c r="Q7" s="33">
        <v>4</v>
      </c>
      <c r="R7" s="22">
        <v>3</v>
      </c>
      <c r="S7" s="11" t="s">
        <v>78</v>
      </c>
      <c r="T7" s="23" t="str">
        <f t="shared" si="1"/>
        <v>패</v>
      </c>
      <c r="V7" s="1" t="s">
        <v>88</v>
      </c>
      <c r="W7" s="1">
        <f>표2_12[[#This Row],[승]]*3+표2_12[[#This Row],[무]]</f>
        <v>7</v>
      </c>
      <c r="X7" s="1">
        <f>표2_12[[#This Row],[승]]+표2_12[[#This Row],[무]]+표2_12[[#This Row],[패]]</f>
        <v>6</v>
      </c>
      <c r="Y7" s="1">
        <f>COUNTIFS(표1_13[팀1 결과],Y$2,표1_13[팀1],표2_12[[#This Row],[팀]])+COUNTIFS(표1_13[팀2 결과],Y$2,표1_13[팀2],표2_12[[#This Row],[팀]])</f>
        <v>2</v>
      </c>
      <c r="Z7" s="1">
        <f>COUNTIFS(표1_13[팀1 결과],Z$2,표1_13[팀1],표2_12[[#This Row],[팀]])+COUNTIFS(표1_13[팀2 결과],Z$2,표1_13[팀2],표2_12[[#This Row],[팀]])</f>
        <v>1</v>
      </c>
      <c r="AA7" s="1">
        <f>COUNTIFS(표1_13[팀1 결과],AA$2,표1_13[팀1],표2_12[[#This Row],[팀]])+COUNTIFS(표1_13[팀2 결과],AA$2,표1_13[팀2],표2_12[[#This Row],[팀]])</f>
        <v>3</v>
      </c>
      <c r="AB7" s="1">
        <f>SUMIF(표1_13[팀1],표2_12[[#This Row],[팀]],표1_13[팀1 S])+SUMIF(표1_13[팀2],표2_12[[#This Row],[팀]],표1_13[팀2 S])</f>
        <v>18</v>
      </c>
      <c r="AC7" s="1">
        <f>SUMIF(표1_13[팀1],표2_12[[#This Row],[팀]],표1_13[팀2 S])+SUMIF(표1_13[팀2],표2_12[[#This Row],[팀]],표1_13[팀1 S])</f>
        <v>19</v>
      </c>
      <c r="AD7" s="1">
        <f>표2_12[[#This Row],[득점]]-표2_12[[#This Row],[실점]]</f>
        <v>-1</v>
      </c>
    </row>
    <row r="8" spans="2:30" ht="24.25" customHeight="1" thickBot="1" x14ac:dyDescent="0.35">
      <c r="M8" s="109" t="e">
        <f t="shared" si="2"/>
        <v>#DIV/0!</v>
      </c>
      <c r="O8" s="35" t="str">
        <f t="shared" si="0"/>
        <v>승</v>
      </c>
      <c r="P8" s="25" t="s">
        <v>81</v>
      </c>
      <c r="Q8" s="36">
        <v>3</v>
      </c>
      <c r="R8" s="24">
        <v>1</v>
      </c>
      <c r="S8" s="25" t="s">
        <v>78</v>
      </c>
      <c r="T8" s="26" t="str">
        <f t="shared" si="1"/>
        <v>패</v>
      </c>
      <c r="V8" s="1" t="s">
        <v>89</v>
      </c>
      <c r="W8" s="1">
        <f>표2_12[[#This Row],[승]]*3+표2_12[[#This Row],[무]]</f>
        <v>3</v>
      </c>
      <c r="X8" s="1">
        <f>표2_12[[#This Row],[승]]+표2_12[[#This Row],[무]]+표2_12[[#This Row],[패]]</f>
        <v>4</v>
      </c>
      <c r="Y8" s="1">
        <f>COUNTIFS(표1_13[팀1 결과],Y$2,표1_13[팀1],표2_12[[#This Row],[팀]])+COUNTIFS(표1_13[팀2 결과],Y$2,표1_13[팀2],표2_12[[#This Row],[팀]])</f>
        <v>1</v>
      </c>
      <c r="Z8" s="1">
        <f>COUNTIFS(표1_13[팀1 결과],Z$2,표1_13[팀1],표2_12[[#This Row],[팀]])+COUNTIFS(표1_13[팀2 결과],Z$2,표1_13[팀2],표2_12[[#This Row],[팀]])</f>
        <v>0</v>
      </c>
      <c r="AA8" s="1">
        <f>COUNTIFS(표1_13[팀1 결과],AA$2,표1_13[팀1],표2_12[[#This Row],[팀]])+COUNTIFS(표1_13[팀2 결과],AA$2,표1_13[팀2],표2_12[[#This Row],[팀]])</f>
        <v>3</v>
      </c>
      <c r="AB8" s="1">
        <f>SUMIF(표1_13[팀1],표2_12[[#This Row],[팀]],표1_13[팀1 S])+SUMIF(표1_13[팀2],표2_12[[#This Row],[팀]],표1_13[팀2 S])</f>
        <v>8</v>
      </c>
      <c r="AC8" s="1">
        <f>SUMIF(표1_13[팀1],표2_12[[#This Row],[팀]],표1_13[팀2 S])+SUMIF(표1_13[팀2],표2_12[[#This Row],[팀]],표1_13[팀1 S])</f>
        <v>13</v>
      </c>
      <c r="AD8" s="1">
        <f>표2_12[[#This Row],[득점]]-표2_12[[#This Row],[실점]]</f>
        <v>-5</v>
      </c>
    </row>
    <row r="9" spans="2:30" ht="24.25" customHeight="1" thickBot="1" x14ac:dyDescent="0.35">
      <c r="M9" s="110" t="e">
        <f t="shared" si="2"/>
        <v>#DIV/0!</v>
      </c>
      <c r="O9" s="37" t="str">
        <f t="shared" si="0"/>
        <v>승</v>
      </c>
      <c r="P9" s="38" t="s">
        <v>87</v>
      </c>
      <c r="Q9" s="15">
        <v>3</v>
      </c>
      <c r="R9" s="39">
        <v>1</v>
      </c>
      <c r="S9" s="38" t="s">
        <v>88</v>
      </c>
      <c r="T9" s="15" t="str">
        <f t="shared" si="1"/>
        <v>패</v>
      </c>
    </row>
    <row r="10" spans="2:30" ht="24.25" customHeight="1" thickBot="1" x14ac:dyDescent="0.35">
      <c r="M10" s="109" t="e">
        <f t="shared" si="2"/>
        <v>#DIV/0!</v>
      </c>
      <c r="O10" s="32" t="str">
        <f t="shared" si="0"/>
        <v>승</v>
      </c>
      <c r="P10" s="11" t="s">
        <v>87</v>
      </c>
      <c r="Q10" s="33">
        <v>7</v>
      </c>
      <c r="R10" s="22">
        <v>2</v>
      </c>
      <c r="S10" s="11" t="s">
        <v>88</v>
      </c>
      <c r="T10" s="33" t="str">
        <f t="shared" si="1"/>
        <v>패</v>
      </c>
    </row>
    <row r="11" spans="2:30" ht="24.25" customHeight="1" thickBot="1" x14ac:dyDescent="0.35">
      <c r="M11" s="110" t="e">
        <f t="shared" si="2"/>
        <v>#DIV/0!</v>
      </c>
      <c r="O11" s="32" t="str">
        <f t="shared" si="0"/>
        <v/>
      </c>
      <c r="P11" s="11" t="s">
        <v>87</v>
      </c>
      <c r="Q11" s="33"/>
      <c r="R11" s="22"/>
      <c r="S11" s="11" t="s">
        <v>89</v>
      </c>
      <c r="T11" s="33" t="str">
        <f t="shared" si="1"/>
        <v/>
      </c>
    </row>
    <row r="12" spans="2:30" ht="24.25" customHeight="1" thickBot="1" x14ac:dyDescent="0.35">
      <c r="M12" s="109" t="e">
        <f t="shared" si="2"/>
        <v>#DIV/0!</v>
      </c>
      <c r="O12" s="34" t="str">
        <f t="shared" si="0"/>
        <v/>
      </c>
      <c r="P12" s="12" t="s">
        <v>87</v>
      </c>
      <c r="Q12" s="16"/>
      <c r="R12" s="40"/>
      <c r="S12" s="12" t="s">
        <v>89</v>
      </c>
      <c r="T12" s="16" t="str">
        <f t="shared" si="1"/>
        <v/>
      </c>
    </row>
    <row r="13" spans="2:30" ht="24.25" customHeight="1" thickBot="1" x14ac:dyDescent="0.35">
      <c r="M13" s="111" t="e">
        <f t="shared" si="2"/>
        <v>#DIV/0!</v>
      </c>
      <c r="O13" s="30" t="str">
        <f t="shared" si="0"/>
        <v>승</v>
      </c>
      <c r="P13" s="10" t="s">
        <v>88</v>
      </c>
      <c r="Q13" s="31">
        <v>5</v>
      </c>
      <c r="R13" s="20">
        <v>1</v>
      </c>
      <c r="S13" s="10" t="s">
        <v>89</v>
      </c>
      <c r="T13" s="21" t="str">
        <f t="shared" si="1"/>
        <v>패</v>
      </c>
    </row>
    <row r="14" spans="2:30" ht="21.6" customHeight="1" x14ac:dyDescent="0.3">
      <c r="O14" s="32" t="str">
        <f t="shared" si="0"/>
        <v>패</v>
      </c>
      <c r="P14" s="11" t="s">
        <v>88</v>
      </c>
      <c r="Q14" s="33">
        <v>1</v>
      </c>
      <c r="R14" s="22">
        <v>3</v>
      </c>
      <c r="S14" s="11" t="s">
        <v>89</v>
      </c>
      <c r="T14" s="23" t="str">
        <f t="shared" si="1"/>
        <v>승</v>
      </c>
    </row>
    <row r="15" spans="2:30" ht="21.6" customHeight="1" x14ac:dyDescent="0.3"/>
    <row r="16" spans="2:30" ht="21.6" customHeight="1" x14ac:dyDescent="0.3"/>
    <row r="17" spans="3:4" ht="21.6" customHeight="1" x14ac:dyDescent="0.3"/>
    <row r="18" spans="3:4" ht="21.6" customHeight="1" x14ac:dyDescent="0.3"/>
    <row r="19" spans="3:4" ht="21.6" customHeight="1" thickBot="1" x14ac:dyDescent="0.35"/>
    <row r="20" spans="3:4" ht="21.6" customHeight="1" x14ac:dyDescent="0.3">
      <c r="C20" s="102" t="s">
        <v>60</v>
      </c>
      <c r="D20" s="103">
        <v>1</v>
      </c>
    </row>
    <row r="21" spans="3:4" ht="21.6" customHeight="1" x14ac:dyDescent="0.3">
      <c r="C21" s="104" t="s">
        <v>61</v>
      </c>
      <c r="D21" s="105">
        <v>2</v>
      </c>
    </row>
    <row r="22" spans="3:4" ht="21.6" customHeight="1" x14ac:dyDescent="0.3">
      <c r="C22" s="104" t="s">
        <v>16</v>
      </c>
      <c r="D22" s="105">
        <v>3</v>
      </c>
    </row>
    <row r="23" spans="3:4" ht="21.6" customHeight="1" x14ac:dyDescent="0.3">
      <c r="C23" s="104" t="s">
        <v>14</v>
      </c>
      <c r="D23" s="105">
        <v>4</v>
      </c>
    </row>
    <row r="24" spans="3:4" ht="21.6" customHeight="1" x14ac:dyDescent="0.3">
      <c r="C24" s="104" t="s">
        <v>31</v>
      </c>
      <c r="D24" s="105">
        <v>5</v>
      </c>
    </row>
    <row r="25" spans="3:4" ht="21.6" customHeight="1" x14ac:dyDescent="0.3">
      <c r="C25" s="104" t="s">
        <v>54</v>
      </c>
      <c r="D25" s="105">
        <v>6</v>
      </c>
    </row>
    <row r="26" spans="3:4" ht="21.6" customHeight="1" x14ac:dyDescent="0.3">
      <c r="C26" s="104" t="s">
        <v>56</v>
      </c>
      <c r="D26" s="105">
        <v>7</v>
      </c>
    </row>
    <row r="27" spans="3:4" ht="21.6" customHeight="1" thickBot="1" x14ac:dyDescent="0.35">
      <c r="C27" s="106" t="s">
        <v>58</v>
      </c>
      <c r="D27" s="107">
        <v>8</v>
      </c>
    </row>
    <row r="28" spans="3:4" ht="21.6" customHeight="1" x14ac:dyDescent="0.3"/>
    <row r="29" spans="3:4" ht="21.6" customHeight="1" x14ac:dyDescent="0.3"/>
    <row r="30" spans="3:4" ht="21.6" customHeight="1" x14ac:dyDescent="0.3"/>
    <row r="31" spans="3:4" ht="21.6" customHeight="1" x14ac:dyDescent="0.3"/>
    <row r="32" spans="3:4" ht="21.6" customHeight="1" x14ac:dyDescent="0.3"/>
    <row r="33" ht="21.6" customHeight="1" x14ac:dyDescent="0.3"/>
    <row r="34" ht="21.6" customHeight="1" x14ac:dyDescent="0.3"/>
    <row r="35" ht="21.6" customHeight="1" x14ac:dyDescent="0.3"/>
    <row r="36" ht="21.6" customHeight="1" x14ac:dyDescent="0.3"/>
    <row r="37" ht="21.6" customHeight="1" x14ac:dyDescent="0.3"/>
    <row r="38" ht="21.6" customHeight="1" x14ac:dyDescent="0.3"/>
    <row r="39" ht="21.6" customHeight="1" x14ac:dyDescent="0.3"/>
    <row r="40" ht="21.6" customHeight="1" x14ac:dyDescent="0.3"/>
    <row r="41" ht="21.6" customHeight="1" x14ac:dyDescent="0.3"/>
    <row r="42" ht="21.6" customHeight="1" x14ac:dyDescent="0.3"/>
    <row r="43" ht="21.6" customHeight="1" x14ac:dyDescent="0.3"/>
    <row r="44" ht="21.6" customHeight="1" x14ac:dyDescent="0.3"/>
    <row r="45" ht="21.6" customHeight="1" x14ac:dyDescent="0.3"/>
    <row r="46" ht="21.6" customHeight="1" x14ac:dyDescent="0.3"/>
    <row r="47" ht="21.6" customHeight="1" x14ac:dyDescent="0.3"/>
    <row r="48" ht="21.6" customHeight="1" x14ac:dyDescent="0.3"/>
    <row r="49" ht="21.6" customHeight="1" x14ac:dyDescent="0.3"/>
    <row r="50" ht="21.6" customHeight="1" x14ac:dyDescent="0.3"/>
    <row r="51" ht="21.6" customHeight="1" x14ac:dyDescent="0.3"/>
    <row r="52" ht="21.6" customHeight="1" x14ac:dyDescent="0.3"/>
    <row r="53" ht="21.6" customHeight="1" x14ac:dyDescent="0.3"/>
    <row r="54" ht="21.6" customHeight="1" x14ac:dyDescent="0.3"/>
    <row r="55" ht="21.6" customHeight="1" x14ac:dyDescent="0.3"/>
    <row r="56" ht="21.6" customHeight="1" x14ac:dyDescent="0.3"/>
    <row r="57" ht="21.6" customHeight="1" x14ac:dyDescent="0.3"/>
    <row r="58" ht="21.6" customHeight="1" x14ac:dyDescent="0.3"/>
    <row r="59" ht="21.6" customHeight="1" x14ac:dyDescent="0.3"/>
    <row r="60" ht="21.6" customHeight="1" x14ac:dyDescent="0.3"/>
    <row r="61" ht="21.6" customHeight="1" x14ac:dyDescent="0.3"/>
    <row r="62" ht="21.6" customHeight="1" x14ac:dyDescent="0.3"/>
    <row r="63" ht="21.6" customHeight="1" x14ac:dyDescent="0.3"/>
    <row r="64" ht="21.6" customHeight="1" x14ac:dyDescent="0.3"/>
    <row r="65" ht="21.6" customHeight="1" x14ac:dyDescent="0.3"/>
    <row r="66" ht="21.6" customHeight="1" x14ac:dyDescent="0.3"/>
    <row r="67" ht="21.6" customHeight="1" x14ac:dyDescent="0.3"/>
    <row r="68" ht="21.6" customHeight="1" x14ac:dyDescent="0.3"/>
    <row r="69" ht="21.6" customHeight="1" x14ac:dyDescent="0.3"/>
    <row r="70" ht="21.6" customHeight="1" x14ac:dyDescent="0.3"/>
    <row r="71" ht="21.6" customHeight="1" x14ac:dyDescent="0.3"/>
    <row r="72" ht="21.6" customHeight="1" x14ac:dyDescent="0.3"/>
    <row r="73" ht="21.6" customHeight="1" x14ac:dyDescent="0.3"/>
    <row r="74" ht="21.6" customHeight="1" x14ac:dyDescent="0.3"/>
    <row r="75" ht="21.6" customHeight="1" x14ac:dyDescent="0.3"/>
    <row r="76" ht="21.6" customHeight="1" x14ac:dyDescent="0.3"/>
    <row r="77" ht="21.6" customHeight="1" x14ac:dyDescent="0.3"/>
    <row r="78" ht="21.6" customHeight="1" x14ac:dyDescent="0.3"/>
    <row r="79" ht="21.6" customHeight="1" x14ac:dyDescent="0.3"/>
    <row r="80" ht="21.6" customHeight="1" x14ac:dyDescent="0.3"/>
    <row r="81" ht="21.6" customHeight="1" x14ac:dyDescent="0.3"/>
    <row r="82" ht="21.6" customHeight="1" x14ac:dyDescent="0.3"/>
    <row r="83" ht="21.6" customHeight="1" x14ac:dyDescent="0.3"/>
    <row r="84" ht="21.6" customHeight="1" x14ac:dyDescent="0.3"/>
    <row r="85" ht="21.6" customHeight="1" x14ac:dyDescent="0.3"/>
    <row r="86" ht="21.6" customHeight="1" x14ac:dyDescent="0.3"/>
    <row r="87" ht="21.6" customHeight="1" x14ac:dyDescent="0.3"/>
    <row r="88" ht="21.6" customHeight="1" x14ac:dyDescent="0.3"/>
    <row r="89" ht="21.6" customHeight="1" x14ac:dyDescent="0.3"/>
    <row r="90" ht="21.6" customHeight="1" x14ac:dyDescent="0.3"/>
    <row r="91" ht="21.6" customHeight="1" x14ac:dyDescent="0.3"/>
    <row r="92" ht="21.6" customHeight="1" x14ac:dyDescent="0.3"/>
    <row r="93" ht="21.6" customHeight="1" x14ac:dyDescent="0.3"/>
    <row r="94" ht="21.6" customHeight="1" x14ac:dyDescent="0.3"/>
    <row r="95" ht="21.6" customHeight="1" x14ac:dyDescent="0.3"/>
    <row r="96" ht="21.6" customHeight="1" x14ac:dyDescent="0.3"/>
    <row r="97" ht="21.6" customHeight="1" x14ac:dyDescent="0.3"/>
    <row r="98" ht="21.6" customHeight="1" x14ac:dyDescent="0.3"/>
    <row r="99" ht="21.6" customHeight="1" x14ac:dyDescent="0.3"/>
    <row r="100" ht="21.6" customHeight="1" x14ac:dyDescent="0.3"/>
    <row r="101" ht="21.6" customHeight="1" x14ac:dyDescent="0.3"/>
    <row r="102" ht="21.6" customHeight="1" x14ac:dyDescent="0.3"/>
    <row r="103" ht="21.6" customHeight="1" x14ac:dyDescent="0.3"/>
    <row r="104" ht="21.6" customHeight="1" x14ac:dyDescent="0.3"/>
    <row r="105" ht="21.6" customHeight="1" x14ac:dyDescent="0.3"/>
    <row r="106" ht="21.6" customHeight="1" x14ac:dyDescent="0.3"/>
    <row r="107" ht="21.6" customHeight="1" x14ac:dyDescent="0.3"/>
    <row r="108" ht="21.6" customHeight="1" x14ac:dyDescent="0.3"/>
    <row r="109" ht="21.6" customHeight="1" x14ac:dyDescent="0.3"/>
    <row r="110" ht="21.6" customHeight="1" x14ac:dyDescent="0.3"/>
    <row r="111" ht="21.6" customHeight="1" x14ac:dyDescent="0.3"/>
    <row r="112" ht="21.6" customHeight="1" x14ac:dyDescent="0.3"/>
  </sheetData>
  <phoneticPr fontId="7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1273-7D59-4F2A-83F6-84C5DD233EBD}">
  <dimension ref="B1:AA234"/>
  <sheetViews>
    <sheetView showGridLines="0" tabSelected="1" topLeftCell="A24" zoomScale="115" zoomScaleNormal="115" workbookViewId="0">
      <selection activeCell="R15" sqref="R15:U44"/>
    </sheetView>
  </sheetViews>
  <sheetFormatPr defaultRowHeight="15.7" x14ac:dyDescent="0.3"/>
  <cols>
    <col min="1" max="1" width="2.625" customWidth="1"/>
    <col min="2" max="2" width="6.25" customWidth="1"/>
    <col min="3" max="3" width="12.25" customWidth="1"/>
    <col min="4" max="4" width="6.5" customWidth="1"/>
    <col min="5" max="5" width="9" customWidth="1"/>
    <col min="6" max="8" width="6.125" customWidth="1"/>
    <col min="9" max="10" width="6.5" customWidth="1"/>
    <col min="11" max="11" width="8.375" customWidth="1"/>
    <col min="12" max="12" width="2.625" customWidth="1"/>
    <col min="13" max="14" width="10.875" customWidth="1"/>
    <col min="15" max="15" width="2.625" customWidth="1"/>
    <col min="16" max="16" width="9" customWidth="1"/>
    <col min="22" max="22" width="2.625" customWidth="1"/>
  </cols>
  <sheetData>
    <row r="1" spans="2:27" ht="16.399999999999999" thickBot="1" x14ac:dyDescent="0.35"/>
    <row r="2" spans="2:27" ht="15.7" customHeight="1" thickBot="1" x14ac:dyDescent="0.35">
      <c r="B2" s="125" t="s">
        <v>64</v>
      </c>
      <c r="C2" s="142" t="s">
        <v>20</v>
      </c>
      <c r="D2" s="126" t="s">
        <v>65</v>
      </c>
      <c r="E2" s="127" t="s">
        <v>62</v>
      </c>
      <c r="F2" s="128" t="s">
        <v>17</v>
      </c>
      <c r="G2" s="128" t="s">
        <v>15</v>
      </c>
      <c r="H2" s="128" t="s">
        <v>32</v>
      </c>
      <c r="I2" s="129" t="s">
        <v>55</v>
      </c>
      <c r="J2" s="128" t="s">
        <v>57</v>
      </c>
      <c r="K2" s="126" t="s">
        <v>59</v>
      </c>
      <c r="M2" s="62" t="s">
        <v>84</v>
      </c>
      <c r="N2" s="60" t="s">
        <v>90</v>
      </c>
      <c r="W2" s="153" t="s">
        <v>95</v>
      </c>
      <c r="X2" s="154"/>
      <c r="Y2" s="154"/>
      <c r="Z2" s="154"/>
      <c r="AA2" s="155"/>
    </row>
    <row r="3" spans="2:27" ht="27.1" customHeight="1" thickBot="1" x14ac:dyDescent="0.35">
      <c r="B3" s="94">
        <v>1</v>
      </c>
      <c r="C3" s="148" t="str" cm="1">
        <f t="array" ref="C3:K13">_xlfn._xlws.SORT(_xlfn._xlws.SORT(_xlfn._xlws.SORT(_xlfn._xlws.SORT((_xlfn._xlws.FILTER(표200[],표200[경기]&gt;(-1),)),9,-1),7,-1),8,1),2,-1)</f>
        <v>나폴리</v>
      </c>
      <c r="D3" s="85">
        <v>12</v>
      </c>
      <c r="E3" s="59">
        <v>5</v>
      </c>
      <c r="F3" s="57">
        <v>4</v>
      </c>
      <c r="G3" s="57">
        <v>0</v>
      </c>
      <c r="H3" s="57">
        <v>1</v>
      </c>
      <c r="I3" s="58">
        <v>16</v>
      </c>
      <c r="J3" s="57">
        <v>9</v>
      </c>
      <c r="K3" s="95">
        <v>7</v>
      </c>
      <c r="M3" s="108">
        <f>D3/E3</f>
        <v>2.4</v>
      </c>
      <c r="N3" s="136">
        <f>(20-E3)*3+D3</f>
        <v>57</v>
      </c>
      <c r="W3" s="156"/>
      <c r="X3" s="157"/>
      <c r="Y3" s="157"/>
      <c r="Z3" s="157"/>
      <c r="AA3" s="158"/>
    </row>
    <row r="4" spans="2:27" ht="27.1" customHeight="1" thickBot="1" x14ac:dyDescent="0.35">
      <c r="B4" s="96">
        <v>2</v>
      </c>
      <c r="C4" s="143" t="str">
        <v>마인츠</v>
      </c>
      <c r="D4" s="86">
        <v>12</v>
      </c>
      <c r="E4" s="52">
        <v>5</v>
      </c>
      <c r="F4" s="50">
        <v>4</v>
      </c>
      <c r="G4" s="50">
        <v>0</v>
      </c>
      <c r="H4" s="50">
        <v>1</v>
      </c>
      <c r="I4" s="51">
        <v>21</v>
      </c>
      <c r="J4" s="50">
        <v>12</v>
      </c>
      <c r="K4" s="97">
        <v>9</v>
      </c>
      <c r="M4" s="109">
        <f t="shared" ref="M4:M13" si="0">D4/E4</f>
        <v>2.4</v>
      </c>
      <c r="N4" s="146">
        <f>(20-E4)*3+D4</f>
        <v>57</v>
      </c>
      <c r="W4" s="156"/>
      <c r="X4" s="157"/>
      <c r="Y4" s="157"/>
      <c r="Z4" s="157"/>
      <c r="AA4" s="158"/>
    </row>
    <row r="5" spans="2:27" ht="27.1" customHeight="1" thickBot="1" x14ac:dyDescent="0.35">
      <c r="B5" s="98">
        <v>3</v>
      </c>
      <c r="C5" s="144" t="str">
        <v>볼프스</v>
      </c>
      <c r="D5" s="87">
        <v>12</v>
      </c>
      <c r="E5" s="48">
        <v>5</v>
      </c>
      <c r="F5" s="46">
        <v>4</v>
      </c>
      <c r="G5" s="46">
        <v>0</v>
      </c>
      <c r="H5" s="46">
        <v>1</v>
      </c>
      <c r="I5" s="47">
        <v>26</v>
      </c>
      <c r="J5" s="46">
        <v>14</v>
      </c>
      <c r="K5" s="99">
        <v>12</v>
      </c>
      <c r="M5" s="110">
        <f t="shared" si="0"/>
        <v>2.4</v>
      </c>
      <c r="N5" s="147">
        <f t="shared" ref="N5:N13" si="1">(20-E5)*3+D5</f>
        <v>57</v>
      </c>
      <c r="W5" s="156"/>
      <c r="X5" s="157"/>
      <c r="Y5" s="157"/>
      <c r="Z5" s="157"/>
      <c r="AA5" s="158"/>
    </row>
    <row r="6" spans="2:27" ht="27.1" customHeight="1" thickBot="1" x14ac:dyDescent="0.35">
      <c r="B6" s="96">
        <v>4</v>
      </c>
      <c r="C6" s="143" t="str">
        <v>토트넘</v>
      </c>
      <c r="D6" s="86">
        <v>9</v>
      </c>
      <c r="E6" s="52">
        <v>5</v>
      </c>
      <c r="F6" s="50">
        <v>3</v>
      </c>
      <c r="G6" s="50">
        <v>0</v>
      </c>
      <c r="H6" s="50">
        <v>2</v>
      </c>
      <c r="I6" s="51">
        <v>20</v>
      </c>
      <c r="J6" s="50">
        <v>17</v>
      </c>
      <c r="K6" s="97">
        <v>3</v>
      </c>
      <c r="M6" s="109">
        <f t="shared" si="0"/>
        <v>1.8</v>
      </c>
      <c r="N6" s="146">
        <f t="shared" si="1"/>
        <v>54</v>
      </c>
      <c r="W6" s="156"/>
      <c r="X6" s="157"/>
      <c r="Y6" s="157"/>
      <c r="Z6" s="157"/>
      <c r="AA6" s="158"/>
    </row>
    <row r="7" spans="2:27" ht="27.1" customHeight="1" thickBot="1" x14ac:dyDescent="0.35">
      <c r="B7" s="98">
        <v>5</v>
      </c>
      <c r="C7" s="144" t="str">
        <v>첼시</v>
      </c>
      <c r="D7" s="87">
        <v>7</v>
      </c>
      <c r="E7" s="48">
        <v>5</v>
      </c>
      <c r="F7" s="46">
        <v>2</v>
      </c>
      <c r="G7" s="46">
        <v>1</v>
      </c>
      <c r="H7" s="46">
        <v>2</v>
      </c>
      <c r="I7" s="47">
        <v>11</v>
      </c>
      <c r="J7" s="46">
        <v>12</v>
      </c>
      <c r="K7" s="99">
        <v>-1</v>
      </c>
      <c r="M7" s="110">
        <f t="shared" si="0"/>
        <v>1.4</v>
      </c>
      <c r="N7" s="147">
        <f t="shared" si="1"/>
        <v>52</v>
      </c>
      <c r="W7" s="156"/>
      <c r="X7" s="157"/>
      <c r="Y7" s="157"/>
      <c r="Z7" s="157"/>
      <c r="AA7" s="158"/>
    </row>
    <row r="8" spans="2:27" ht="27.1" customHeight="1" thickBot="1" x14ac:dyDescent="0.35">
      <c r="B8" s="96">
        <v>6</v>
      </c>
      <c r="C8" s="143" t="str">
        <v>PSV</v>
      </c>
      <c r="D8" s="86">
        <v>3</v>
      </c>
      <c r="E8" s="52">
        <v>5</v>
      </c>
      <c r="F8" s="50">
        <v>1</v>
      </c>
      <c r="G8" s="50">
        <v>0</v>
      </c>
      <c r="H8" s="50">
        <v>4</v>
      </c>
      <c r="I8" s="51">
        <v>12</v>
      </c>
      <c r="J8" s="50">
        <v>21</v>
      </c>
      <c r="K8" s="97">
        <v>-9</v>
      </c>
      <c r="M8" s="109">
        <f t="shared" si="0"/>
        <v>0.6</v>
      </c>
      <c r="N8" s="146">
        <f t="shared" si="1"/>
        <v>48</v>
      </c>
      <c r="W8" s="156"/>
      <c r="X8" s="157"/>
      <c r="Y8" s="157"/>
      <c r="Z8" s="157"/>
      <c r="AA8" s="158"/>
    </row>
    <row r="9" spans="2:27" ht="27.1" customHeight="1" thickBot="1" x14ac:dyDescent="0.35">
      <c r="B9" s="98">
        <v>7</v>
      </c>
      <c r="C9" s="144" t="str">
        <v>인테르</v>
      </c>
      <c r="D9" s="87">
        <v>0</v>
      </c>
      <c r="E9" s="48">
        <v>0</v>
      </c>
      <c r="F9" s="46">
        <v>0</v>
      </c>
      <c r="G9" s="46">
        <v>0</v>
      </c>
      <c r="H9" s="46">
        <v>0</v>
      </c>
      <c r="I9" s="47">
        <v>0</v>
      </c>
      <c r="J9" s="46">
        <v>0</v>
      </c>
      <c r="K9" s="99">
        <v>0</v>
      </c>
      <c r="M9" s="110" t="e">
        <f t="shared" si="0"/>
        <v>#DIV/0!</v>
      </c>
      <c r="N9" s="147">
        <f t="shared" si="1"/>
        <v>60</v>
      </c>
      <c r="W9" s="156"/>
      <c r="X9" s="157"/>
      <c r="Y9" s="157"/>
      <c r="Z9" s="157"/>
      <c r="AA9" s="158"/>
    </row>
    <row r="10" spans="2:27" ht="27.1" customHeight="1" thickBot="1" x14ac:dyDescent="0.35">
      <c r="B10" s="96">
        <v>8</v>
      </c>
      <c r="C10" s="143" t="str">
        <v>레버쿠젠</v>
      </c>
      <c r="D10" s="86">
        <v>0</v>
      </c>
      <c r="E10" s="52">
        <v>0</v>
      </c>
      <c r="F10" s="50">
        <v>0</v>
      </c>
      <c r="G10" s="50">
        <v>0</v>
      </c>
      <c r="H10" s="50">
        <v>0</v>
      </c>
      <c r="I10" s="51">
        <v>0</v>
      </c>
      <c r="J10" s="50">
        <v>0</v>
      </c>
      <c r="K10" s="97">
        <v>0</v>
      </c>
      <c r="M10" s="109" t="e">
        <f t="shared" si="0"/>
        <v>#DIV/0!</v>
      </c>
      <c r="N10" s="146">
        <f t="shared" si="1"/>
        <v>60</v>
      </c>
      <c r="W10" s="156"/>
      <c r="X10" s="157"/>
      <c r="Y10" s="157"/>
      <c r="Z10" s="157"/>
      <c r="AA10" s="158"/>
    </row>
    <row r="11" spans="2:27" ht="27.1" customHeight="1" thickBot="1" x14ac:dyDescent="0.35">
      <c r="B11" s="98">
        <v>9</v>
      </c>
      <c r="C11" s="144" t="str">
        <v>뮌헨</v>
      </c>
      <c r="D11" s="87">
        <v>0</v>
      </c>
      <c r="E11" s="48">
        <v>0</v>
      </c>
      <c r="F11" s="46">
        <v>0</v>
      </c>
      <c r="G11" s="46">
        <v>0</v>
      </c>
      <c r="H11" s="46">
        <v>0</v>
      </c>
      <c r="I11" s="47">
        <v>0</v>
      </c>
      <c r="J11" s="46">
        <v>0</v>
      </c>
      <c r="K11" s="99">
        <v>0</v>
      </c>
      <c r="M11" s="110" t="e">
        <f t="shared" si="0"/>
        <v>#DIV/0!</v>
      </c>
      <c r="N11" s="147">
        <f t="shared" si="1"/>
        <v>60</v>
      </c>
      <c r="W11" s="156"/>
      <c r="X11" s="157"/>
      <c r="Y11" s="157"/>
      <c r="Z11" s="157"/>
      <c r="AA11" s="158"/>
    </row>
    <row r="12" spans="2:27" ht="27.1" customHeight="1" thickBot="1" x14ac:dyDescent="0.35">
      <c r="B12" s="96">
        <v>10</v>
      </c>
      <c r="C12" s="143" t="str">
        <v>ATM</v>
      </c>
      <c r="D12" s="86">
        <v>0</v>
      </c>
      <c r="E12" s="52">
        <v>0</v>
      </c>
      <c r="F12" s="50">
        <v>0</v>
      </c>
      <c r="G12" s="50">
        <v>0</v>
      </c>
      <c r="H12" s="50">
        <v>0</v>
      </c>
      <c r="I12" s="51">
        <v>0</v>
      </c>
      <c r="J12" s="50">
        <v>0</v>
      </c>
      <c r="K12" s="97">
        <v>0</v>
      </c>
      <c r="M12" s="109" t="e">
        <f t="shared" si="0"/>
        <v>#DIV/0!</v>
      </c>
      <c r="N12" s="137">
        <f t="shared" si="1"/>
        <v>60</v>
      </c>
      <c r="W12" s="156"/>
      <c r="X12" s="157"/>
      <c r="Y12" s="157"/>
      <c r="Z12" s="157"/>
      <c r="AA12" s="158"/>
    </row>
    <row r="13" spans="2:27" ht="27.1" customHeight="1" thickBot="1" x14ac:dyDescent="0.35">
      <c r="B13" s="100">
        <v>11</v>
      </c>
      <c r="C13" s="145" t="str">
        <v>파리</v>
      </c>
      <c r="D13" s="88">
        <v>0</v>
      </c>
      <c r="E13" s="55">
        <v>0</v>
      </c>
      <c r="F13" s="53">
        <v>0</v>
      </c>
      <c r="G13" s="53">
        <v>0</v>
      </c>
      <c r="H13" s="53">
        <v>0</v>
      </c>
      <c r="I13" s="54">
        <v>0</v>
      </c>
      <c r="J13" s="53">
        <v>0</v>
      </c>
      <c r="K13" s="101">
        <v>0</v>
      </c>
      <c r="M13" s="111" t="e">
        <f t="shared" si="0"/>
        <v>#DIV/0!</v>
      </c>
      <c r="N13" s="138">
        <f t="shared" si="1"/>
        <v>60</v>
      </c>
      <c r="W13" s="159"/>
      <c r="X13" s="160"/>
      <c r="Y13" s="160"/>
      <c r="Z13" s="160"/>
      <c r="AA13" s="161"/>
    </row>
    <row r="14" spans="2:27" ht="21.6" customHeight="1" x14ac:dyDescent="0.3">
      <c r="P14" s="17" t="s">
        <v>92</v>
      </c>
      <c r="Q14" s="18" t="s">
        <v>91</v>
      </c>
      <c r="R14" s="18" t="s">
        <v>93</v>
      </c>
      <c r="S14" s="18" t="s">
        <v>55</v>
      </c>
      <c r="T14" s="18" t="s">
        <v>57</v>
      </c>
      <c r="U14" s="19" t="s">
        <v>94</v>
      </c>
    </row>
    <row r="15" spans="2:27" ht="27.1" customHeight="1" x14ac:dyDescent="0.3">
      <c r="P15" s="22">
        <v>4</v>
      </c>
      <c r="Q15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5" s="140" t="s">
        <v>37</v>
      </c>
      <c r="S15" s="140">
        <v>4</v>
      </c>
      <c r="T15" s="140">
        <v>7</v>
      </c>
      <c r="U15" s="141" t="s">
        <v>43</v>
      </c>
    </row>
    <row r="16" spans="2:27" ht="27.1" customHeight="1" x14ac:dyDescent="0.3">
      <c r="P16" s="22">
        <v>7</v>
      </c>
      <c r="Q16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6" s="140" t="s">
        <v>37</v>
      </c>
      <c r="S16" s="140">
        <v>7</v>
      </c>
      <c r="T16" s="140">
        <v>4</v>
      </c>
      <c r="U16" s="141" t="s">
        <v>39</v>
      </c>
    </row>
    <row r="17" spans="13:21" ht="27.1" customHeight="1" x14ac:dyDescent="0.3">
      <c r="M17" t="s">
        <v>37</v>
      </c>
      <c r="N17">
        <f>COUNTIF(표100[[#All],[팀]:[상대팀]],M17)</f>
        <v>10</v>
      </c>
      <c r="P17" s="22">
        <v>8</v>
      </c>
      <c r="Q17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7" s="140" t="s">
        <v>37</v>
      </c>
      <c r="S17" s="140">
        <v>3</v>
      </c>
      <c r="T17" s="140">
        <v>0</v>
      </c>
      <c r="U17" s="141" t="s">
        <v>41</v>
      </c>
    </row>
    <row r="18" spans="13:21" ht="27.1" customHeight="1" x14ac:dyDescent="0.3">
      <c r="M18" t="s">
        <v>43</v>
      </c>
      <c r="N18">
        <f>COUNTIF(표100[[#All],[팀]:[상대팀]],M18)</f>
        <v>10</v>
      </c>
      <c r="P18" s="22">
        <v>9</v>
      </c>
      <c r="Q18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8" s="140" t="s">
        <v>37</v>
      </c>
      <c r="S18" s="140">
        <v>2</v>
      </c>
      <c r="T18" s="140">
        <v>1</v>
      </c>
      <c r="U18" s="141" t="s">
        <v>45</v>
      </c>
    </row>
    <row r="19" spans="13:21" ht="27.1" customHeight="1" x14ac:dyDescent="0.3">
      <c r="M19" t="s">
        <v>39</v>
      </c>
      <c r="N19">
        <f>COUNTIF(표100[[#All],[팀]:[상대팀]],M19)</f>
        <v>10</v>
      </c>
      <c r="P19" s="22">
        <v>10</v>
      </c>
      <c r="Q19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9" s="140" t="s">
        <v>37</v>
      </c>
      <c r="S19" s="140">
        <v>5</v>
      </c>
      <c r="T19" s="140">
        <v>0</v>
      </c>
      <c r="U19" s="141" t="s">
        <v>42</v>
      </c>
    </row>
    <row r="20" spans="13:21" ht="27.1" customHeight="1" x14ac:dyDescent="0.3">
      <c r="M20" t="s">
        <v>41</v>
      </c>
      <c r="N20">
        <f>COUNTIF(표100[[#All],[팀]:[상대팀]],M20)</f>
        <v>10</v>
      </c>
      <c r="P20" s="22">
        <v>19</v>
      </c>
      <c r="Q20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20" s="140" t="s">
        <v>43</v>
      </c>
      <c r="S20" s="140">
        <v>3</v>
      </c>
      <c r="T20" s="140">
        <v>7</v>
      </c>
      <c r="U20" s="141" t="s">
        <v>37</v>
      </c>
    </row>
    <row r="21" spans="13:21" ht="27.1" customHeight="1" x14ac:dyDescent="0.3">
      <c r="M21" t="s">
        <v>45</v>
      </c>
      <c r="N21">
        <f>COUNTIF(표100[[#All],[팀]:[상대팀]],M21)</f>
        <v>10</v>
      </c>
      <c r="P21" s="22">
        <v>47</v>
      </c>
      <c r="Q21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21" s="140" t="s">
        <v>43</v>
      </c>
      <c r="S21" s="140">
        <v>2</v>
      </c>
      <c r="T21" s="140">
        <v>5</v>
      </c>
      <c r="U21" s="141" t="s">
        <v>39</v>
      </c>
    </row>
    <row r="22" spans="13:21" ht="27.1" customHeight="1" x14ac:dyDescent="0.3">
      <c r="M22" t="s">
        <v>42</v>
      </c>
      <c r="N22">
        <f>COUNTIF(표100[[#All],[팀]:[상대팀]],M22)</f>
        <v>10</v>
      </c>
      <c r="P22" s="22">
        <v>48</v>
      </c>
      <c r="Q22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22" s="140" t="s">
        <v>43</v>
      </c>
      <c r="S22" s="140">
        <v>1</v>
      </c>
      <c r="T22" s="140">
        <v>4</v>
      </c>
      <c r="U22" s="141" t="s">
        <v>41</v>
      </c>
    </row>
    <row r="23" spans="13:21" ht="27.1" customHeight="1" x14ac:dyDescent="0.3">
      <c r="P23" s="22">
        <v>49</v>
      </c>
      <c r="Q23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23" s="140" t="s">
        <v>43</v>
      </c>
      <c r="S23" s="140">
        <v>1</v>
      </c>
      <c r="T23" s="140">
        <v>3</v>
      </c>
      <c r="U23" s="141" t="s">
        <v>45</v>
      </c>
    </row>
    <row r="24" spans="13:21" ht="27.1" customHeight="1" x14ac:dyDescent="0.3">
      <c r="P24" s="22">
        <v>50</v>
      </c>
      <c r="Q24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24" s="140" t="s">
        <v>43</v>
      </c>
      <c r="S24" s="140">
        <v>5</v>
      </c>
      <c r="T24" s="140">
        <v>2</v>
      </c>
      <c r="U24" s="141" t="s">
        <v>42</v>
      </c>
    </row>
    <row r="25" spans="13:21" ht="27.1" customHeight="1" x14ac:dyDescent="0.3">
      <c r="P25" s="22">
        <v>51</v>
      </c>
      <c r="Q25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25" s="140" t="s">
        <v>39</v>
      </c>
      <c r="S25" s="140">
        <v>0</v>
      </c>
      <c r="T25" s="140">
        <v>4</v>
      </c>
      <c r="U25" s="141" t="s">
        <v>37</v>
      </c>
    </row>
    <row r="26" spans="13:21" ht="27.1" customHeight="1" x14ac:dyDescent="0.3">
      <c r="P26" s="22">
        <v>53</v>
      </c>
      <c r="Q26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26" s="140" t="s">
        <v>39</v>
      </c>
      <c r="S26" s="140">
        <v>6</v>
      </c>
      <c r="T26" s="140">
        <v>4</v>
      </c>
      <c r="U26" s="141" t="s">
        <v>43</v>
      </c>
    </row>
    <row r="27" spans="13:21" ht="27.1" customHeight="1" x14ac:dyDescent="0.3">
      <c r="P27" s="22">
        <v>54</v>
      </c>
      <c r="Q27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27" s="140" t="s">
        <v>39</v>
      </c>
      <c r="S27" s="140">
        <v>1</v>
      </c>
      <c r="T27" s="140">
        <v>1</v>
      </c>
      <c r="U27" s="141" t="s">
        <v>41</v>
      </c>
    </row>
    <row r="28" spans="13:21" ht="27.1" customHeight="1" x14ac:dyDescent="0.3">
      <c r="P28" s="22">
        <v>55</v>
      </c>
      <c r="Q28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28" s="140" t="s">
        <v>39</v>
      </c>
      <c r="S28" s="140">
        <v>1</v>
      </c>
      <c r="T28" s="140">
        <v>3</v>
      </c>
      <c r="U28" s="141" t="s">
        <v>45</v>
      </c>
    </row>
    <row r="29" spans="13:21" ht="27.1" customHeight="1" x14ac:dyDescent="0.3">
      <c r="P29" s="22">
        <v>56</v>
      </c>
      <c r="Q29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29" s="140" t="s">
        <v>39</v>
      </c>
      <c r="S29" s="140">
        <v>3</v>
      </c>
      <c r="T29" s="140">
        <v>0</v>
      </c>
      <c r="U29" s="141" t="s">
        <v>42</v>
      </c>
    </row>
    <row r="30" spans="13:21" ht="27.1" customHeight="1" x14ac:dyDescent="0.3">
      <c r="P30" s="22">
        <v>59</v>
      </c>
      <c r="Q30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30" s="140" t="s">
        <v>41</v>
      </c>
      <c r="S30" s="140">
        <v>0</v>
      </c>
      <c r="T30" s="140">
        <v>6</v>
      </c>
      <c r="U30" s="141" t="s">
        <v>37</v>
      </c>
    </row>
    <row r="31" spans="13:21" ht="27.1" customHeight="1" x14ac:dyDescent="0.3">
      <c r="P31" s="22">
        <v>89</v>
      </c>
      <c r="Q31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31" s="140" t="s">
        <v>41</v>
      </c>
      <c r="S31" s="140">
        <v>5</v>
      </c>
      <c r="T31" s="140">
        <v>2</v>
      </c>
      <c r="U31" s="141" t="s">
        <v>43</v>
      </c>
    </row>
    <row r="32" spans="13:21" ht="27.1" customHeight="1" x14ac:dyDescent="0.3">
      <c r="P32" s="22">
        <v>90</v>
      </c>
      <c r="Q32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32" s="140" t="s">
        <v>41</v>
      </c>
      <c r="S32" s="140">
        <v>6</v>
      </c>
      <c r="T32" s="140">
        <v>0</v>
      </c>
      <c r="U32" s="141" t="s">
        <v>39</v>
      </c>
    </row>
    <row r="33" spans="16:21" ht="27.1" customHeight="1" x14ac:dyDescent="0.3">
      <c r="P33" s="22">
        <v>91</v>
      </c>
      <c r="Q33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33" s="140" t="s">
        <v>41</v>
      </c>
      <c r="S33" s="140">
        <v>3</v>
      </c>
      <c r="T33" s="140">
        <v>0</v>
      </c>
      <c r="U33" s="141" t="s">
        <v>45</v>
      </c>
    </row>
    <row r="34" spans="16:21" ht="27.1" customHeight="1" x14ac:dyDescent="0.3">
      <c r="P34" s="22">
        <v>92</v>
      </c>
      <c r="Q34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34" s="140" t="s">
        <v>41</v>
      </c>
      <c r="S34" s="140">
        <v>2</v>
      </c>
      <c r="T34" s="140">
        <v>1</v>
      </c>
      <c r="U34" s="141" t="s">
        <v>42</v>
      </c>
    </row>
    <row r="35" spans="16:21" ht="27.1" customHeight="1" x14ac:dyDescent="0.3">
      <c r="P35" s="22">
        <v>93</v>
      </c>
      <c r="Q35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35" s="140" t="s">
        <v>45</v>
      </c>
      <c r="S35" s="140">
        <v>7</v>
      </c>
      <c r="T35" s="140">
        <v>4</v>
      </c>
      <c r="U35" s="141" t="s">
        <v>37</v>
      </c>
    </row>
    <row r="36" spans="16:21" ht="27.1" customHeight="1" x14ac:dyDescent="0.3">
      <c r="P36" s="22">
        <v>95</v>
      </c>
      <c r="Q36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36" s="140" t="s">
        <v>45</v>
      </c>
      <c r="S36" s="140">
        <v>7</v>
      </c>
      <c r="T36" s="140">
        <v>2</v>
      </c>
      <c r="U36" s="141" t="s">
        <v>43</v>
      </c>
    </row>
    <row r="37" spans="16:21" ht="27.1" customHeight="1" x14ac:dyDescent="0.3">
      <c r="P37" s="22">
        <v>96</v>
      </c>
      <c r="Q37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37" s="140" t="s">
        <v>45</v>
      </c>
      <c r="S37" s="140">
        <v>1</v>
      </c>
      <c r="T37" s="140">
        <v>6</v>
      </c>
      <c r="U37" s="141" t="s">
        <v>39</v>
      </c>
    </row>
    <row r="38" spans="16:21" ht="27.1" customHeight="1" x14ac:dyDescent="0.3">
      <c r="P38" s="22">
        <v>99</v>
      </c>
      <c r="Q38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38" s="140" t="s">
        <v>45</v>
      </c>
      <c r="S38" s="140">
        <v>4</v>
      </c>
      <c r="T38" s="140">
        <v>0</v>
      </c>
      <c r="U38" s="141" t="s">
        <v>41</v>
      </c>
    </row>
    <row r="39" spans="16:21" ht="27.1" customHeight="1" x14ac:dyDescent="0.3">
      <c r="P39" s="22">
        <v>100</v>
      </c>
      <c r="Q39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39" s="140" t="s">
        <v>45</v>
      </c>
      <c r="S39" s="140">
        <v>7</v>
      </c>
      <c r="T39" s="140">
        <v>2</v>
      </c>
      <c r="U39" s="141" t="s">
        <v>42</v>
      </c>
    </row>
    <row r="40" spans="16:21" ht="27.1" customHeight="1" x14ac:dyDescent="0.3">
      <c r="P40" s="22">
        <v>111</v>
      </c>
      <c r="Q40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40" s="140" t="s">
        <v>42</v>
      </c>
      <c r="S40" s="140">
        <v>1</v>
      </c>
      <c r="T40" s="140">
        <v>2</v>
      </c>
      <c r="U40" s="141" t="s">
        <v>37</v>
      </c>
    </row>
    <row r="41" spans="16:21" ht="27.1" customHeight="1" x14ac:dyDescent="0.3">
      <c r="P41" s="22">
        <v>113</v>
      </c>
      <c r="Q41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41" s="140" t="s">
        <v>42</v>
      </c>
      <c r="S41" s="140">
        <v>3</v>
      </c>
      <c r="T41" s="140">
        <v>5</v>
      </c>
      <c r="U41" s="141" t="s">
        <v>43</v>
      </c>
    </row>
    <row r="42" spans="16:21" ht="27.1" customHeight="1" x14ac:dyDescent="0.3">
      <c r="P42" s="22">
        <v>114</v>
      </c>
      <c r="Q42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42" s="140" t="s">
        <v>42</v>
      </c>
      <c r="S42" s="140">
        <v>7</v>
      </c>
      <c r="T42" s="140">
        <v>4</v>
      </c>
      <c r="U42" s="141" t="s">
        <v>39</v>
      </c>
    </row>
    <row r="43" spans="16:21" ht="27.1" customHeight="1" x14ac:dyDescent="0.3">
      <c r="P43" s="22">
        <v>115</v>
      </c>
      <c r="Q43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43" s="140" t="s">
        <v>42</v>
      </c>
      <c r="S43" s="140">
        <v>4</v>
      </c>
      <c r="T43" s="140">
        <v>3</v>
      </c>
      <c r="U43" s="141" t="s">
        <v>41</v>
      </c>
    </row>
    <row r="44" spans="16:21" ht="27.1" customHeight="1" x14ac:dyDescent="0.3">
      <c r="P44" s="22">
        <v>116</v>
      </c>
      <c r="Q44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44" s="140" t="s">
        <v>42</v>
      </c>
      <c r="S44" s="140">
        <v>5</v>
      </c>
      <c r="T44" s="140">
        <v>3</v>
      </c>
      <c r="U44" s="141" t="s">
        <v>45</v>
      </c>
    </row>
    <row r="45" spans="16:21" ht="27.1" customHeight="1" x14ac:dyDescent="0.3">
      <c r="P45" s="22">
        <v>119</v>
      </c>
      <c r="Q45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5" s="140"/>
      <c r="S45" s="140"/>
      <c r="T45" s="140"/>
      <c r="U45" s="141"/>
    </row>
    <row r="46" spans="16:21" ht="27.1" customHeight="1" x14ac:dyDescent="0.3">
      <c r="P46" s="22">
        <v>120</v>
      </c>
      <c r="Q46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6" s="140"/>
      <c r="S46" s="140"/>
      <c r="T46" s="140"/>
      <c r="U46" s="141"/>
    </row>
    <row r="47" spans="16:21" ht="27.1" customHeight="1" x14ac:dyDescent="0.3">
      <c r="P47" s="22">
        <v>133</v>
      </c>
      <c r="Q47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7" s="140"/>
      <c r="S47" s="140"/>
      <c r="T47" s="140"/>
      <c r="U47" s="141"/>
    </row>
    <row r="48" spans="16:21" ht="27.1" customHeight="1" x14ac:dyDescent="0.3">
      <c r="P48" s="22">
        <v>134</v>
      </c>
      <c r="Q48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8" s="140"/>
      <c r="S48" s="140"/>
      <c r="T48" s="140"/>
      <c r="U48" s="141"/>
    </row>
    <row r="49" spans="16:21" ht="27.1" customHeight="1" x14ac:dyDescent="0.3">
      <c r="P49" s="22">
        <v>135</v>
      </c>
      <c r="Q49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9" s="140"/>
      <c r="S49" s="140"/>
      <c r="T49" s="140"/>
      <c r="U49" s="141"/>
    </row>
    <row r="50" spans="16:21" ht="27.1" customHeight="1" x14ac:dyDescent="0.3">
      <c r="P50" s="22">
        <v>136</v>
      </c>
      <c r="Q50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0" s="140"/>
      <c r="S50" s="140"/>
      <c r="T50" s="140"/>
      <c r="U50" s="141"/>
    </row>
    <row r="51" spans="16:21" ht="27.1" customHeight="1" x14ac:dyDescent="0.3">
      <c r="P51" s="22">
        <v>139</v>
      </c>
      <c r="Q51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1" s="140"/>
      <c r="S51" s="140"/>
      <c r="T51" s="140"/>
      <c r="U51" s="141"/>
    </row>
    <row r="52" spans="16:21" ht="27.1" customHeight="1" x14ac:dyDescent="0.3">
      <c r="P52" s="22">
        <v>140</v>
      </c>
      <c r="Q52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2" s="140"/>
      <c r="S52" s="140"/>
      <c r="T52" s="140"/>
      <c r="U52" s="141"/>
    </row>
    <row r="53" spans="16:21" ht="27.1" customHeight="1" x14ac:dyDescent="0.3">
      <c r="P53" s="22">
        <v>155</v>
      </c>
      <c r="Q53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3" s="140"/>
      <c r="S53" s="140"/>
      <c r="T53" s="140"/>
      <c r="U53" s="141"/>
    </row>
    <row r="54" spans="16:21" ht="27.1" customHeight="1" x14ac:dyDescent="0.3">
      <c r="P54" s="22">
        <v>156</v>
      </c>
      <c r="Q54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4" s="140"/>
      <c r="S54" s="140"/>
      <c r="T54" s="140"/>
      <c r="U54" s="141"/>
    </row>
    <row r="55" spans="16:21" ht="27.1" customHeight="1" x14ac:dyDescent="0.3">
      <c r="P55" s="22">
        <v>159</v>
      </c>
      <c r="Q55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5" s="140"/>
      <c r="S55" s="140"/>
      <c r="T55" s="140"/>
      <c r="U55" s="141"/>
    </row>
    <row r="56" spans="16:21" ht="27.1" customHeight="1" x14ac:dyDescent="0.3">
      <c r="P56" s="22">
        <v>160</v>
      </c>
      <c r="Q56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6" s="140"/>
      <c r="S56" s="140"/>
      <c r="T56" s="140"/>
      <c r="U56" s="141"/>
    </row>
    <row r="57" spans="16:21" ht="27.1" customHeight="1" x14ac:dyDescent="0.3">
      <c r="P57" s="22">
        <v>179</v>
      </c>
      <c r="Q57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7" s="140"/>
      <c r="S57" s="140"/>
      <c r="T57" s="140"/>
      <c r="U57" s="141"/>
    </row>
    <row r="58" spans="16:21" ht="27.1" customHeight="1" x14ac:dyDescent="0.3">
      <c r="P58" s="22">
        <v>180</v>
      </c>
      <c r="Q58" s="14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8" s="140"/>
      <c r="S58" s="140"/>
      <c r="T58" s="140"/>
      <c r="U58" s="141"/>
    </row>
    <row r="59" spans="16:21" ht="27.1" customHeight="1" x14ac:dyDescent="0.3">
      <c r="P59" s="22"/>
      <c r="Q59" s="140"/>
      <c r="R59" s="140"/>
      <c r="S59" s="140"/>
      <c r="T59" s="140"/>
      <c r="U59" s="141"/>
    </row>
    <row r="60" spans="16:21" ht="27.1" customHeight="1" x14ac:dyDescent="0.3">
      <c r="P60" s="22"/>
      <c r="Q60" s="140"/>
      <c r="R60" s="140"/>
      <c r="S60" s="140"/>
      <c r="T60" s="140"/>
      <c r="U60" s="141"/>
    </row>
    <row r="61" spans="16:21" ht="27.1" customHeight="1" x14ac:dyDescent="0.3">
      <c r="P61" s="22"/>
      <c r="Q61" s="140"/>
      <c r="R61" s="140"/>
      <c r="S61" s="140"/>
      <c r="T61" s="140"/>
      <c r="U61" s="141"/>
    </row>
    <row r="62" spans="16:21" ht="27.1" customHeight="1" x14ac:dyDescent="0.3">
      <c r="P62" s="22"/>
      <c r="Q62" s="140"/>
      <c r="R62" s="140"/>
      <c r="S62" s="140"/>
      <c r="T62" s="140"/>
      <c r="U62" s="141"/>
    </row>
    <row r="63" spans="16:21" ht="27.1" customHeight="1" x14ac:dyDescent="0.3">
      <c r="P63" s="22"/>
      <c r="Q63" s="140"/>
      <c r="R63" s="140"/>
      <c r="S63" s="140"/>
      <c r="T63" s="140"/>
      <c r="U63" s="141"/>
    </row>
    <row r="64" spans="16:21" ht="27.1" customHeight="1" x14ac:dyDescent="0.3">
      <c r="P64" s="22"/>
      <c r="Q64" s="140"/>
      <c r="R64" s="140"/>
      <c r="S64" s="140"/>
      <c r="T64" s="140"/>
      <c r="U64" s="141"/>
    </row>
    <row r="65" spans="16:21" ht="27.1" customHeight="1" x14ac:dyDescent="0.3">
      <c r="P65" s="22"/>
      <c r="Q65" s="140"/>
      <c r="R65" s="140"/>
      <c r="S65" s="140"/>
      <c r="T65" s="140"/>
      <c r="U65" s="141"/>
    </row>
    <row r="66" spans="16:21" ht="27.1" customHeight="1" x14ac:dyDescent="0.3">
      <c r="P66" s="22"/>
      <c r="Q66" s="140"/>
      <c r="R66" s="140"/>
      <c r="S66" s="140"/>
      <c r="T66" s="140"/>
      <c r="U66" s="141"/>
    </row>
    <row r="67" spans="16:21" ht="27.1" customHeight="1" x14ac:dyDescent="0.3">
      <c r="P67" s="22"/>
      <c r="Q67" s="140"/>
      <c r="R67" s="140"/>
      <c r="S67" s="140"/>
      <c r="T67" s="140"/>
      <c r="U67" s="141"/>
    </row>
    <row r="68" spans="16:21" ht="27.1" customHeight="1" x14ac:dyDescent="0.3">
      <c r="P68" s="22"/>
      <c r="Q68" s="140"/>
      <c r="R68" s="140"/>
      <c r="S68" s="140"/>
      <c r="T68" s="140"/>
      <c r="U68" s="141"/>
    </row>
    <row r="69" spans="16:21" ht="27.1" customHeight="1" x14ac:dyDescent="0.3">
      <c r="P69" s="22"/>
      <c r="Q69" s="140"/>
      <c r="R69" s="140"/>
      <c r="S69" s="140"/>
      <c r="T69" s="140"/>
      <c r="U69" s="141"/>
    </row>
    <row r="70" spans="16:21" ht="27.1" customHeight="1" x14ac:dyDescent="0.3">
      <c r="P70" s="22"/>
      <c r="Q70" s="140"/>
      <c r="R70" s="140"/>
      <c r="S70" s="140"/>
      <c r="T70" s="140"/>
      <c r="U70" s="141"/>
    </row>
    <row r="71" spans="16:21" ht="27.1" customHeight="1" x14ac:dyDescent="0.3">
      <c r="P71" s="22"/>
      <c r="Q71" s="140"/>
      <c r="R71" s="140"/>
      <c r="S71" s="140"/>
      <c r="T71" s="140"/>
      <c r="U71" s="141"/>
    </row>
    <row r="72" spans="16:21" ht="27.1" customHeight="1" x14ac:dyDescent="0.3">
      <c r="P72" s="22"/>
      <c r="Q72" s="140"/>
      <c r="R72" s="140"/>
      <c r="S72" s="140"/>
      <c r="T72" s="140"/>
      <c r="U72" s="141"/>
    </row>
    <row r="73" spans="16:21" ht="27.1" customHeight="1" x14ac:dyDescent="0.3">
      <c r="P73" s="22"/>
      <c r="Q73" s="140"/>
      <c r="R73" s="140"/>
      <c r="S73" s="140"/>
      <c r="T73" s="140"/>
      <c r="U73" s="141"/>
    </row>
    <row r="74" spans="16:21" ht="27.1" customHeight="1" x14ac:dyDescent="0.3">
      <c r="P74" s="22"/>
      <c r="Q74" s="140"/>
      <c r="R74" s="140"/>
      <c r="S74" s="140"/>
      <c r="T74" s="140"/>
      <c r="U74" s="141"/>
    </row>
    <row r="75" spans="16:21" ht="27.1" customHeight="1" x14ac:dyDescent="0.3">
      <c r="P75" s="22"/>
      <c r="Q75" s="140"/>
      <c r="R75" s="140"/>
      <c r="S75" s="140"/>
      <c r="T75" s="140"/>
      <c r="U75" s="141"/>
    </row>
    <row r="76" spans="16:21" ht="27.1" customHeight="1" x14ac:dyDescent="0.3">
      <c r="P76" s="22"/>
      <c r="Q76" s="140"/>
      <c r="R76" s="140"/>
      <c r="S76" s="140"/>
      <c r="T76" s="140"/>
      <c r="U76" s="141"/>
    </row>
    <row r="77" spans="16:21" ht="27.1" customHeight="1" x14ac:dyDescent="0.3">
      <c r="P77" s="22"/>
      <c r="Q77" s="140"/>
      <c r="R77" s="140"/>
      <c r="S77" s="140"/>
      <c r="T77" s="140"/>
      <c r="U77" s="141"/>
    </row>
    <row r="78" spans="16:21" ht="27.1" customHeight="1" x14ac:dyDescent="0.3">
      <c r="P78" s="22"/>
      <c r="Q78" s="140"/>
      <c r="R78" s="140"/>
      <c r="S78" s="140"/>
      <c r="T78" s="140"/>
      <c r="U78" s="141"/>
    </row>
    <row r="79" spans="16:21" ht="27.1" customHeight="1" x14ac:dyDescent="0.3">
      <c r="P79" s="22"/>
      <c r="Q79" s="140"/>
      <c r="R79" s="140"/>
      <c r="S79" s="140"/>
      <c r="T79" s="140"/>
      <c r="U79" s="141"/>
    </row>
    <row r="80" spans="16:21" ht="27.1" customHeight="1" x14ac:dyDescent="0.3">
      <c r="P80" s="22"/>
      <c r="Q80" s="140"/>
      <c r="R80" s="140"/>
      <c r="S80" s="140"/>
      <c r="T80" s="140"/>
      <c r="U80" s="141"/>
    </row>
    <row r="81" spans="16:21" ht="27.1" customHeight="1" x14ac:dyDescent="0.3">
      <c r="P81" s="22"/>
      <c r="Q81" s="140"/>
      <c r="R81" s="140"/>
      <c r="S81" s="140"/>
      <c r="T81" s="140"/>
      <c r="U81" s="141"/>
    </row>
    <row r="82" spans="16:21" ht="27.1" customHeight="1" x14ac:dyDescent="0.3">
      <c r="P82" s="22"/>
      <c r="Q82" s="140"/>
      <c r="R82" s="140"/>
      <c r="S82" s="140"/>
      <c r="T82" s="140"/>
      <c r="U82" s="141"/>
    </row>
    <row r="83" spans="16:21" ht="27.1" customHeight="1" x14ac:dyDescent="0.3">
      <c r="P83" s="22"/>
      <c r="Q83" s="140"/>
      <c r="R83" s="140"/>
      <c r="S83" s="140"/>
      <c r="T83" s="140"/>
      <c r="U83" s="141"/>
    </row>
    <row r="84" spans="16:21" ht="27.1" customHeight="1" x14ac:dyDescent="0.3">
      <c r="P84" s="22"/>
      <c r="Q84" s="140"/>
      <c r="R84" s="140"/>
      <c r="S84" s="140"/>
      <c r="T84" s="140"/>
      <c r="U84" s="141"/>
    </row>
    <row r="85" spans="16:21" ht="27.1" customHeight="1" x14ac:dyDescent="0.3">
      <c r="P85" s="22"/>
      <c r="Q85" s="140"/>
      <c r="R85" s="140"/>
      <c r="S85" s="140"/>
      <c r="T85" s="140"/>
      <c r="U85" s="141"/>
    </row>
    <row r="86" spans="16:21" ht="27.1" customHeight="1" x14ac:dyDescent="0.3">
      <c r="P86" s="22"/>
      <c r="Q86" s="140"/>
      <c r="R86" s="140"/>
      <c r="S86" s="140"/>
      <c r="T86" s="140"/>
      <c r="U86" s="141"/>
    </row>
    <row r="87" spans="16:21" ht="27.1" customHeight="1" x14ac:dyDescent="0.3">
      <c r="P87" s="22"/>
      <c r="Q87" s="140"/>
      <c r="R87" s="140"/>
      <c r="S87" s="140"/>
      <c r="T87" s="140"/>
      <c r="U87" s="141"/>
    </row>
    <row r="88" spans="16:21" ht="27.1" customHeight="1" x14ac:dyDescent="0.3">
      <c r="P88" s="22"/>
      <c r="Q88" s="140"/>
      <c r="R88" s="140"/>
      <c r="S88" s="140"/>
      <c r="T88" s="140"/>
      <c r="U88" s="141"/>
    </row>
    <row r="89" spans="16:21" ht="27.1" customHeight="1" x14ac:dyDescent="0.3">
      <c r="P89" s="22"/>
      <c r="Q89" s="140"/>
      <c r="R89" s="140"/>
      <c r="S89" s="140"/>
      <c r="T89" s="140"/>
      <c r="U89" s="141"/>
    </row>
    <row r="90" spans="16:21" ht="27.1" customHeight="1" x14ac:dyDescent="0.3">
      <c r="P90" s="22"/>
      <c r="Q90" s="140"/>
      <c r="R90" s="140"/>
      <c r="S90" s="140"/>
      <c r="T90" s="140"/>
      <c r="U90" s="141"/>
    </row>
    <row r="91" spans="16:21" ht="27.1" customHeight="1" x14ac:dyDescent="0.3">
      <c r="P91" s="22"/>
      <c r="Q91" s="140"/>
      <c r="R91" s="140"/>
      <c r="S91" s="140"/>
      <c r="T91" s="140"/>
      <c r="U91" s="141"/>
    </row>
    <row r="92" spans="16:21" ht="27.1" customHeight="1" x14ac:dyDescent="0.3">
      <c r="P92" s="22"/>
      <c r="Q92" s="140"/>
      <c r="R92" s="140"/>
      <c r="S92" s="140"/>
      <c r="T92" s="140"/>
      <c r="U92" s="141"/>
    </row>
    <row r="93" spans="16:21" ht="27.1" customHeight="1" x14ac:dyDescent="0.3">
      <c r="P93" s="22"/>
      <c r="Q93" s="140"/>
      <c r="R93" s="140"/>
      <c r="S93" s="140"/>
      <c r="T93" s="140"/>
      <c r="U93" s="141"/>
    </row>
    <row r="94" spans="16:21" ht="27.1" customHeight="1" x14ac:dyDescent="0.3">
      <c r="P94" s="22"/>
      <c r="Q94" s="140"/>
      <c r="R94" s="140"/>
      <c r="S94" s="140"/>
      <c r="T94" s="140"/>
      <c r="U94" s="141"/>
    </row>
    <row r="95" spans="16:21" ht="27.1" customHeight="1" x14ac:dyDescent="0.3">
      <c r="P95" s="22"/>
      <c r="Q95" s="140"/>
      <c r="R95" s="140"/>
      <c r="S95" s="140"/>
      <c r="T95" s="140"/>
      <c r="U95" s="141"/>
    </row>
    <row r="96" spans="16:21" ht="27.1" customHeight="1" x14ac:dyDescent="0.3">
      <c r="P96" s="22"/>
      <c r="Q96" s="140"/>
      <c r="R96" s="140"/>
      <c r="S96" s="140"/>
      <c r="T96" s="140"/>
      <c r="U96" s="141"/>
    </row>
    <row r="97" spans="16:21" ht="27.1" customHeight="1" x14ac:dyDescent="0.3">
      <c r="P97" s="22"/>
      <c r="Q97" s="140"/>
      <c r="R97" s="140"/>
      <c r="S97" s="140"/>
      <c r="T97" s="140"/>
      <c r="U97" s="141"/>
    </row>
    <row r="98" spans="16:21" ht="27.1" customHeight="1" x14ac:dyDescent="0.3">
      <c r="P98" s="22"/>
      <c r="Q98" s="140"/>
      <c r="R98" s="140"/>
      <c r="S98" s="140"/>
      <c r="T98" s="140"/>
      <c r="U98" s="141"/>
    </row>
    <row r="99" spans="16:21" ht="27.1" customHeight="1" x14ac:dyDescent="0.3">
      <c r="P99" s="22"/>
      <c r="Q99" s="140"/>
      <c r="R99" s="140"/>
      <c r="S99" s="140"/>
      <c r="T99" s="140"/>
      <c r="U99" s="141"/>
    </row>
    <row r="100" spans="16:21" ht="27.1" customHeight="1" x14ac:dyDescent="0.3">
      <c r="P100" s="22"/>
      <c r="Q100" s="140"/>
      <c r="R100" s="140"/>
      <c r="S100" s="140"/>
      <c r="T100" s="140"/>
      <c r="U100" s="141"/>
    </row>
    <row r="101" spans="16:21" ht="27.1" customHeight="1" x14ac:dyDescent="0.3">
      <c r="P101" s="22"/>
      <c r="Q101" s="140"/>
      <c r="R101" s="140"/>
      <c r="S101" s="140"/>
      <c r="T101" s="140"/>
      <c r="U101" s="141"/>
    </row>
    <row r="102" spans="16:21" ht="27.1" customHeight="1" x14ac:dyDescent="0.3">
      <c r="P102" s="22"/>
      <c r="Q102" s="140"/>
      <c r="R102" s="140"/>
      <c r="S102" s="140"/>
      <c r="T102" s="140"/>
      <c r="U102" s="141"/>
    </row>
    <row r="103" spans="16:21" ht="27.1" customHeight="1" x14ac:dyDescent="0.3">
      <c r="P103" s="22"/>
      <c r="Q103" s="140"/>
      <c r="R103" s="140"/>
      <c r="S103" s="140"/>
      <c r="T103" s="140"/>
      <c r="U103" s="141"/>
    </row>
    <row r="104" spans="16:21" ht="27.1" customHeight="1" x14ac:dyDescent="0.3">
      <c r="P104" s="22"/>
      <c r="Q104" s="140"/>
      <c r="R104" s="140"/>
      <c r="S104" s="140"/>
      <c r="T104" s="140"/>
      <c r="U104" s="141"/>
    </row>
    <row r="105" spans="16:21" ht="27.1" customHeight="1" x14ac:dyDescent="0.3">
      <c r="P105" s="22"/>
      <c r="Q105" s="140"/>
      <c r="R105" s="140"/>
      <c r="S105" s="140"/>
      <c r="T105" s="140"/>
      <c r="U105" s="141"/>
    </row>
    <row r="106" spans="16:21" ht="27.1" customHeight="1" x14ac:dyDescent="0.3">
      <c r="P106" s="22"/>
      <c r="Q106" s="140"/>
      <c r="R106" s="140"/>
      <c r="S106" s="140"/>
      <c r="T106" s="140"/>
      <c r="U106" s="141"/>
    </row>
    <row r="107" spans="16:21" ht="27.1" customHeight="1" x14ac:dyDescent="0.3">
      <c r="P107" s="22"/>
      <c r="Q107" s="140"/>
      <c r="R107" s="140"/>
      <c r="S107" s="140"/>
      <c r="T107" s="140"/>
      <c r="U107" s="141"/>
    </row>
    <row r="108" spans="16:21" ht="27.1" customHeight="1" x14ac:dyDescent="0.3">
      <c r="P108" s="22"/>
      <c r="Q108" s="140"/>
      <c r="R108" s="140"/>
      <c r="S108" s="140"/>
      <c r="T108" s="140"/>
      <c r="U108" s="141"/>
    </row>
    <row r="109" spans="16:21" ht="27.1" customHeight="1" x14ac:dyDescent="0.3">
      <c r="P109" s="22"/>
      <c r="Q109" s="140"/>
      <c r="R109" s="140"/>
      <c r="S109" s="140"/>
      <c r="T109" s="140"/>
      <c r="U109" s="141"/>
    </row>
    <row r="110" spans="16:21" ht="27.1" customHeight="1" x14ac:dyDescent="0.3">
      <c r="P110" s="22"/>
      <c r="Q110" s="140"/>
      <c r="R110" s="140"/>
      <c r="S110" s="140"/>
      <c r="T110" s="140"/>
      <c r="U110" s="141"/>
    </row>
    <row r="111" spans="16:21" ht="27.1" customHeight="1" x14ac:dyDescent="0.3">
      <c r="P111" s="22"/>
      <c r="Q111" s="140"/>
      <c r="R111" s="140"/>
      <c r="S111" s="140"/>
      <c r="T111" s="140"/>
      <c r="U111" s="141"/>
    </row>
    <row r="112" spans="16:21" ht="27.1" customHeight="1" x14ac:dyDescent="0.3">
      <c r="P112" s="22"/>
      <c r="Q112" s="140"/>
      <c r="R112" s="140"/>
      <c r="S112" s="140"/>
      <c r="T112" s="140"/>
      <c r="U112" s="141"/>
    </row>
    <row r="113" spans="16:21" ht="27.1" customHeight="1" x14ac:dyDescent="0.3">
      <c r="P113" s="22"/>
      <c r="Q113" s="140"/>
      <c r="R113" s="140"/>
      <c r="S113" s="140"/>
      <c r="T113" s="140"/>
      <c r="U113" s="141"/>
    </row>
    <row r="114" spans="16:21" ht="27.1" customHeight="1" x14ac:dyDescent="0.3">
      <c r="P114" s="22"/>
      <c r="Q114" s="140"/>
      <c r="R114" s="140"/>
      <c r="S114" s="140"/>
      <c r="T114" s="140"/>
      <c r="U114" s="141"/>
    </row>
    <row r="115" spans="16:21" ht="27.1" customHeight="1" x14ac:dyDescent="0.3">
      <c r="P115" s="22"/>
      <c r="Q115" s="140"/>
      <c r="R115" s="140"/>
      <c r="S115" s="140"/>
      <c r="T115" s="140"/>
      <c r="U115" s="141"/>
    </row>
    <row r="116" spans="16:21" ht="27.1" customHeight="1" x14ac:dyDescent="0.3">
      <c r="P116" s="22"/>
      <c r="Q116" s="140"/>
      <c r="R116" s="140"/>
      <c r="S116" s="140"/>
      <c r="T116" s="140"/>
      <c r="U116" s="141"/>
    </row>
    <row r="117" spans="16:21" ht="27.1" customHeight="1" x14ac:dyDescent="0.3">
      <c r="P117" s="22"/>
      <c r="Q117" s="140"/>
      <c r="R117" s="140"/>
      <c r="S117" s="140"/>
      <c r="T117" s="140"/>
      <c r="U117" s="141"/>
    </row>
    <row r="118" spans="16:21" ht="27.1" customHeight="1" x14ac:dyDescent="0.3">
      <c r="P118" s="22"/>
      <c r="Q118" s="140"/>
      <c r="R118" s="140"/>
      <c r="S118" s="140"/>
      <c r="T118" s="140"/>
      <c r="U118" s="141"/>
    </row>
    <row r="119" spans="16:21" ht="27.1" customHeight="1" x14ac:dyDescent="0.3">
      <c r="P119" s="22"/>
      <c r="Q119" s="140"/>
      <c r="R119" s="140"/>
      <c r="S119" s="140"/>
      <c r="T119" s="140"/>
      <c r="U119" s="141"/>
    </row>
    <row r="120" spans="16:21" ht="27.1" customHeight="1" x14ac:dyDescent="0.3">
      <c r="P120" s="22"/>
      <c r="Q120" s="140"/>
      <c r="R120" s="140"/>
      <c r="S120" s="140"/>
      <c r="T120" s="140"/>
      <c r="U120" s="141"/>
    </row>
    <row r="121" spans="16:21" ht="27.1" customHeight="1" x14ac:dyDescent="0.3">
      <c r="P121" s="22"/>
      <c r="Q121" s="140"/>
      <c r="R121" s="140"/>
      <c r="S121" s="140"/>
      <c r="T121" s="140"/>
      <c r="U121" s="141"/>
    </row>
    <row r="122" spans="16:21" ht="27.1" customHeight="1" x14ac:dyDescent="0.3">
      <c r="P122" s="22"/>
      <c r="Q122" s="140"/>
      <c r="R122" s="140"/>
      <c r="S122" s="140"/>
      <c r="T122" s="140"/>
      <c r="U122" s="141"/>
    </row>
    <row r="123" spans="16:21" ht="27.1" customHeight="1" x14ac:dyDescent="0.3">
      <c r="P123" s="22"/>
      <c r="Q123" s="140"/>
      <c r="R123" s="140"/>
      <c r="S123" s="140"/>
      <c r="T123" s="140"/>
      <c r="U123" s="141"/>
    </row>
    <row r="124" spans="16:21" ht="27.1" customHeight="1" x14ac:dyDescent="0.3">
      <c r="P124" s="22"/>
      <c r="Q124" s="140"/>
      <c r="R124" s="140"/>
      <c r="S124" s="140"/>
      <c r="T124" s="140"/>
      <c r="U124" s="141"/>
    </row>
    <row r="125" spans="16:21" ht="27.1" customHeight="1" x14ac:dyDescent="0.3"/>
    <row r="126" spans="16:21" ht="27.1" customHeight="1" x14ac:dyDescent="0.3"/>
    <row r="127" spans="16:21" ht="27.1" customHeight="1" x14ac:dyDescent="0.3"/>
    <row r="128" spans="16:21" ht="27.1" customHeight="1" x14ac:dyDescent="0.3"/>
    <row r="129" ht="27.1" customHeight="1" x14ac:dyDescent="0.3"/>
    <row r="130" ht="27.1" customHeight="1" x14ac:dyDescent="0.3"/>
    <row r="131" ht="27.1" customHeight="1" x14ac:dyDescent="0.3"/>
    <row r="132" ht="27.1" customHeight="1" x14ac:dyDescent="0.3"/>
    <row r="133" ht="27.1" customHeight="1" x14ac:dyDescent="0.3"/>
    <row r="134" ht="27.1" customHeight="1" x14ac:dyDescent="0.3"/>
    <row r="135" ht="27.1" customHeight="1" x14ac:dyDescent="0.3"/>
    <row r="136" ht="27.1" customHeight="1" x14ac:dyDescent="0.3"/>
    <row r="137" ht="27.1" customHeight="1" x14ac:dyDescent="0.3"/>
    <row r="138" ht="27.1" customHeight="1" x14ac:dyDescent="0.3"/>
    <row r="139" ht="27.1" customHeight="1" x14ac:dyDescent="0.3"/>
    <row r="140" ht="27.1" customHeight="1" x14ac:dyDescent="0.3"/>
    <row r="141" ht="27.1" customHeight="1" x14ac:dyDescent="0.3"/>
    <row r="142" ht="27.1" customHeight="1" x14ac:dyDescent="0.3"/>
    <row r="143" ht="27.1" customHeight="1" x14ac:dyDescent="0.3"/>
    <row r="144" ht="27.1" customHeight="1" x14ac:dyDescent="0.3"/>
    <row r="145" ht="27.1" customHeight="1" x14ac:dyDescent="0.3"/>
    <row r="146" ht="27.1" customHeight="1" x14ac:dyDescent="0.3"/>
    <row r="147" ht="27.1" customHeight="1" x14ac:dyDescent="0.3"/>
    <row r="148" ht="27.1" customHeight="1" x14ac:dyDescent="0.3"/>
    <row r="149" ht="27.1" customHeight="1" x14ac:dyDescent="0.3"/>
    <row r="150" ht="27.1" customHeight="1" x14ac:dyDescent="0.3"/>
    <row r="151" ht="27.1" customHeight="1" x14ac:dyDescent="0.3"/>
    <row r="152" ht="27.1" customHeight="1" x14ac:dyDescent="0.3"/>
    <row r="153" ht="27.1" customHeight="1" x14ac:dyDescent="0.3"/>
    <row r="154" ht="27.1" customHeight="1" x14ac:dyDescent="0.3"/>
    <row r="155" ht="27.1" customHeight="1" x14ac:dyDescent="0.3"/>
    <row r="156" ht="27.1" customHeight="1" x14ac:dyDescent="0.3"/>
    <row r="157" ht="27.1" customHeight="1" x14ac:dyDescent="0.3"/>
    <row r="158" ht="27.1" customHeight="1" x14ac:dyDescent="0.3"/>
    <row r="159" ht="27.1" customHeight="1" x14ac:dyDescent="0.3"/>
    <row r="160" ht="27.1" customHeight="1" x14ac:dyDescent="0.3"/>
    <row r="161" ht="27.1" customHeight="1" x14ac:dyDescent="0.3"/>
    <row r="162" ht="27.1" customHeight="1" x14ac:dyDescent="0.3"/>
    <row r="163" ht="27.1" customHeight="1" x14ac:dyDescent="0.3"/>
    <row r="164" ht="27.1" customHeight="1" x14ac:dyDescent="0.3"/>
    <row r="165" ht="27.1" customHeight="1" x14ac:dyDescent="0.3"/>
    <row r="166" ht="27.1" customHeight="1" x14ac:dyDescent="0.3"/>
    <row r="167" ht="27.1" customHeight="1" x14ac:dyDescent="0.3"/>
    <row r="168" ht="27.1" customHeight="1" x14ac:dyDescent="0.3"/>
    <row r="169" ht="27.1" customHeight="1" x14ac:dyDescent="0.3"/>
    <row r="170" ht="27.1" customHeight="1" x14ac:dyDescent="0.3"/>
    <row r="171" ht="27.1" customHeight="1" x14ac:dyDescent="0.3"/>
    <row r="172" ht="27.1" customHeight="1" x14ac:dyDescent="0.3"/>
    <row r="173" ht="27.1" customHeight="1" x14ac:dyDescent="0.3"/>
    <row r="174" ht="27.1" customHeight="1" x14ac:dyDescent="0.3"/>
    <row r="175" ht="27.1" customHeight="1" x14ac:dyDescent="0.3"/>
    <row r="176" ht="27.1" customHeight="1" x14ac:dyDescent="0.3"/>
    <row r="177" ht="27.1" customHeight="1" x14ac:dyDescent="0.3"/>
    <row r="178" ht="27.1" customHeight="1" x14ac:dyDescent="0.3"/>
    <row r="179" ht="27.1" customHeight="1" x14ac:dyDescent="0.3"/>
    <row r="180" ht="27.1" customHeight="1" x14ac:dyDescent="0.3"/>
    <row r="181" ht="27.1" customHeight="1" x14ac:dyDescent="0.3"/>
    <row r="182" ht="27.1" customHeight="1" x14ac:dyDescent="0.3"/>
    <row r="183" ht="27.1" customHeight="1" x14ac:dyDescent="0.3"/>
    <row r="184" ht="27.1" customHeight="1" x14ac:dyDescent="0.3"/>
    <row r="185" ht="27.1" customHeight="1" x14ac:dyDescent="0.3"/>
    <row r="186" ht="27.1" customHeight="1" x14ac:dyDescent="0.3"/>
    <row r="187" ht="27.1" customHeight="1" x14ac:dyDescent="0.3"/>
    <row r="188" ht="27.1" customHeight="1" x14ac:dyDescent="0.3"/>
    <row r="189" ht="27.1" customHeight="1" x14ac:dyDescent="0.3"/>
    <row r="190" ht="27.1" customHeight="1" x14ac:dyDescent="0.3"/>
    <row r="191" ht="27.1" customHeight="1" x14ac:dyDescent="0.3"/>
    <row r="192" ht="27.1" customHeight="1" x14ac:dyDescent="0.3"/>
    <row r="193" ht="27.1" customHeight="1" x14ac:dyDescent="0.3"/>
    <row r="194" ht="27.1" customHeight="1" x14ac:dyDescent="0.3"/>
    <row r="195" ht="27.1" customHeight="1" x14ac:dyDescent="0.3"/>
    <row r="196" ht="27.1" customHeight="1" x14ac:dyDescent="0.3"/>
    <row r="197" ht="27.1" customHeight="1" x14ac:dyDescent="0.3"/>
    <row r="198" ht="27.1" customHeight="1" x14ac:dyDescent="0.3"/>
    <row r="199" ht="27.1" customHeight="1" x14ac:dyDescent="0.3"/>
    <row r="200" ht="27.1" customHeight="1" x14ac:dyDescent="0.3"/>
    <row r="201" ht="27.1" customHeight="1" x14ac:dyDescent="0.3"/>
    <row r="202" ht="27.1" customHeight="1" x14ac:dyDescent="0.3"/>
    <row r="203" ht="27.1" customHeight="1" x14ac:dyDescent="0.3"/>
    <row r="204" ht="27.1" customHeight="1" x14ac:dyDescent="0.3"/>
    <row r="205" ht="27.1" customHeight="1" x14ac:dyDescent="0.3"/>
    <row r="206" ht="27.1" customHeight="1" x14ac:dyDescent="0.3"/>
    <row r="207" ht="27.1" customHeight="1" x14ac:dyDescent="0.3"/>
    <row r="208" ht="27.1" customHeight="1" x14ac:dyDescent="0.3"/>
    <row r="209" ht="27.1" customHeight="1" x14ac:dyDescent="0.3"/>
    <row r="210" ht="27.1" customHeight="1" x14ac:dyDescent="0.3"/>
    <row r="211" ht="27.1" customHeight="1" x14ac:dyDescent="0.3"/>
    <row r="212" ht="27.1" customHeight="1" x14ac:dyDescent="0.3"/>
    <row r="213" ht="27.1" customHeight="1" x14ac:dyDescent="0.3"/>
    <row r="214" ht="27.1" customHeight="1" x14ac:dyDescent="0.3"/>
    <row r="215" ht="27.1" customHeight="1" x14ac:dyDescent="0.3"/>
    <row r="216" ht="27.1" customHeight="1" x14ac:dyDescent="0.3"/>
    <row r="217" ht="27.1" customHeight="1" x14ac:dyDescent="0.3"/>
    <row r="218" ht="27.1" customHeight="1" x14ac:dyDescent="0.3"/>
    <row r="219" ht="27.1" customHeight="1" x14ac:dyDescent="0.3"/>
    <row r="220" ht="27.1" customHeight="1" x14ac:dyDescent="0.3"/>
    <row r="221" ht="27.1" customHeight="1" x14ac:dyDescent="0.3"/>
    <row r="222" ht="27.1" customHeight="1" x14ac:dyDescent="0.3"/>
    <row r="223" ht="27.1" customHeight="1" x14ac:dyDescent="0.3"/>
    <row r="224" ht="27.1" customHeight="1" x14ac:dyDescent="0.3"/>
    <row r="225" ht="27.1" customHeight="1" x14ac:dyDescent="0.3"/>
    <row r="226" ht="27.1" customHeight="1" x14ac:dyDescent="0.3"/>
    <row r="227" ht="27.1" customHeight="1" x14ac:dyDescent="0.3"/>
    <row r="228" ht="27.1" customHeight="1" x14ac:dyDescent="0.3"/>
    <row r="229" ht="27.1" customHeight="1" x14ac:dyDescent="0.3"/>
    <row r="230" ht="27.1" customHeight="1" x14ac:dyDescent="0.3"/>
    <row r="231" ht="27.1" customHeight="1" x14ac:dyDescent="0.3"/>
    <row r="232" ht="27.1" customHeight="1" x14ac:dyDescent="0.3"/>
    <row r="233" ht="27.1" customHeight="1" x14ac:dyDescent="0.3"/>
    <row r="234" ht="27.1" customHeight="1" x14ac:dyDescent="0.3"/>
  </sheetData>
  <mergeCells count="1">
    <mergeCell ref="W2:AA13"/>
  </mergeCells>
  <phoneticPr fontId="7" type="noConversion"/>
  <conditionalFormatting sqref="N3:N13">
    <cfRule type="cellIs" dxfId="3" priority="1" operator="greaterThan">
      <formula>$N$3</formula>
    </cfRule>
  </conditionalFormatting>
  <conditionalFormatting sqref="Q15:Q124">
    <cfRule type="cellIs" dxfId="2" priority="2" operator="equal">
      <formula>"미진행"</formula>
    </cfRule>
  </conditionalFormatting>
  <conditionalFormatting sqref="U14">
    <cfRule type="cellIs" dxfId="1" priority="3" operator="equal">
      <formula>"파리"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2386-0C13-47A5-8323-782976708D5C}">
  <dimension ref="A2:Q223"/>
  <sheetViews>
    <sheetView topLeftCell="B1" zoomScale="145" zoomScaleNormal="145" workbookViewId="0">
      <selection activeCell="G10" sqref="B3:G223"/>
    </sheetView>
  </sheetViews>
  <sheetFormatPr defaultRowHeight="15.7" x14ac:dyDescent="0.3"/>
  <cols>
    <col min="1" max="3" width="10" customWidth="1"/>
    <col min="4" max="4" width="9" style="1"/>
    <col min="5" max="6" width="5.5" style="1" customWidth="1"/>
    <col min="7" max="7" width="9" style="1"/>
    <col min="9" max="17" width="9" customWidth="1"/>
  </cols>
  <sheetData>
    <row r="2" spans="1:17" hidden="1" x14ac:dyDescent="0.3">
      <c r="A2" s="1"/>
      <c r="B2" s="1"/>
      <c r="L2" s="1" t="s">
        <v>17</v>
      </c>
      <c r="M2" s="1" t="s">
        <v>15</v>
      </c>
      <c r="N2" s="1" t="s">
        <v>32</v>
      </c>
    </row>
    <row r="3" spans="1:17" x14ac:dyDescent="0.3">
      <c r="A3" s="1"/>
      <c r="H3" s="1"/>
      <c r="I3" s="1" t="s">
        <v>63</v>
      </c>
      <c r="J3" s="1" t="s">
        <v>60</v>
      </c>
      <c r="K3" s="1" t="s">
        <v>61</v>
      </c>
      <c r="L3" s="1" t="s">
        <v>16</v>
      </c>
      <c r="M3" s="1" t="s">
        <v>14</v>
      </c>
      <c r="N3" s="1" t="s">
        <v>31</v>
      </c>
      <c r="O3" s="1" t="s">
        <v>54</v>
      </c>
      <c r="P3" s="1" t="s">
        <v>56</v>
      </c>
      <c r="Q3" s="1" t="s">
        <v>58</v>
      </c>
    </row>
    <row r="4" spans="1:17" x14ac:dyDescent="0.3">
      <c r="A4" s="1"/>
      <c r="H4" s="139"/>
      <c r="I4" s="1" t="s">
        <v>36</v>
      </c>
      <c r="J4" s="1">
        <f>표200[[#This Row],[승]]*3+표200[[#This Row],[무]]</f>
        <v>0</v>
      </c>
      <c r="K4" s="1">
        <f>표200[[#This Row],[승]]+표200[[#This Row],[무]]+표200[[#This Row],[패]]</f>
        <v>0</v>
      </c>
      <c r="L4" s="1">
        <f>COUNTIFS(표100[팀],표200[[#This Row],[팀]],표100[결과],$L$2)</f>
        <v>0</v>
      </c>
      <c r="M4" s="1">
        <f>COUNTIFS(표100[팀],표200[[#This Row],[팀]],표100[결과],$M$2)</f>
        <v>0</v>
      </c>
      <c r="N4" s="1">
        <f>COUNTIFS(표100[팀],표200[[#This Row],[팀]],표100[결과],$N$2)</f>
        <v>0</v>
      </c>
      <c r="O4" s="1">
        <f>SUMIFS(표100[득점],표100[팀],표200[[#This Row],[팀]])</f>
        <v>0</v>
      </c>
      <c r="P4" s="1">
        <f>SUMIFS(표100[실점],표100[팀],표200[[#This Row],[팀]])</f>
        <v>0</v>
      </c>
      <c r="Q4" s="1">
        <f>표200[[#This Row],[득점]]-표200[[#This Row],[실점]]</f>
        <v>0</v>
      </c>
    </row>
    <row r="5" spans="1:17" x14ac:dyDescent="0.3">
      <c r="A5" s="1"/>
      <c r="H5" s="139"/>
      <c r="I5" s="1" t="s">
        <v>37</v>
      </c>
      <c r="J5" s="1">
        <f>표200[[#This Row],[승]]*3+표200[[#This Row],[무]]</f>
        <v>12</v>
      </c>
      <c r="K5" s="1">
        <f>표200[[#This Row],[승]]+표200[[#This Row],[무]]+표200[[#This Row],[패]]</f>
        <v>5</v>
      </c>
      <c r="L5" s="1">
        <f>COUNTIFS(표100[팀],표200[[#This Row],[팀]],표100[결과],$L$2)</f>
        <v>4</v>
      </c>
      <c r="M5" s="1">
        <f>COUNTIFS(표100[팀],표200[[#This Row],[팀]],표100[결과],$M$2)</f>
        <v>0</v>
      </c>
      <c r="N5" s="1">
        <f>COUNTIFS(표100[팀],표200[[#This Row],[팀]],표100[결과],$N$2)</f>
        <v>1</v>
      </c>
      <c r="O5" s="1">
        <f>SUMIFS(표100[득점],표100[팀],표200[[#This Row],[팀]])</f>
        <v>21</v>
      </c>
      <c r="P5" s="1">
        <f>SUMIFS(표100[실점],표100[팀],표200[[#This Row],[팀]])</f>
        <v>12</v>
      </c>
      <c r="Q5" s="1">
        <f>표200[[#This Row],[득점]]-표200[[#This Row],[실점]]</f>
        <v>9</v>
      </c>
    </row>
    <row r="6" spans="1:17" x14ac:dyDescent="0.3">
      <c r="A6" s="1"/>
      <c r="H6" s="139"/>
      <c r="I6" s="1" t="s">
        <v>40</v>
      </c>
      <c r="J6" s="1">
        <f>표200[[#This Row],[승]]*3+표200[[#This Row],[무]]</f>
        <v>0</v>
      </c>
      <c r="K6" s="1">
        <f>표200[[#This Row],[승]]+표200[[#This Row],[무]]+표200[[#This Row],[패]]</f>
        <v>0</v>
      </c>
      <c r="L6" s="1">
        <f>COUNTIFS(표100[팀],표200[[#This Row],[팀]],표100[결과],$L$2)</f>
        <v>0</v>
      </c>
      <c r="M6" s="1">
        <f>COUNTIFS(표100[팀],표200[[#This Row],[팀]],표100[결과],$M$2)</f>
        <v>0</v>
      </c>
      <c r="N6" s="1">
        <f>COUNTIFS(표100[팀],표200[[#This Row],[팀]],표100[결과],$N$2)</f>
        <v>0</v>
      </c>
      <c r="O6" s="1">
        <f>SUMIFS(표100[득점],표100[팀],표200[[#This Row],[팀]])</f>
        <v>0</v>
      </c>
      <c r="P6" s="1">
        <f>SUMIFS(표100[실점],표100[팀],표200[[#This Row],[팀]])</f>
        <v>0</v>
      </c>
      <c r="Q6" s="1">
        <f>표200[[#This Row],[득점]]-표200[[#This Row],[실점]]</f>
        <v>0</v>
      </c>
    </row>
    <row r="7" spans="1:17" x14ac:dyDescent="0.3">
      <c r="A7" s="1"/>
      <c r="H7" s="139"/>
      <c r="I7" s="1" t="s">
        <v>38</v>
      </c>
      <c r="J7" s="1">
        <f>표200[[#This Row],[승]]*3+표200[[#This Row],[무]]</f>
        <v>0</v>
      </c>
      <c r="K7" s="1">
        <f>표200[[#This Row],[승]]+표200[[#This Row],[무]]+표200[[#This Row],[패]]</f>
        <v>0</v>
      </c>
      <c r="L7" s="1">
        <f>COUNTIFS(표100[팀],표200[[#This Row],[팀]],표100[결과],$L$2)</f>
        <v>0</v>
      </c>
      <c r="M7" s="1">
        <f>COUNTIFS(표100[팀],표200[[#This Row],[팀]],표100[결과],$M$2)</f>
        <v>0</v>
      </c>
      <c r="N7" s="1">
        <f>COUNTIFS(표100[팀],표200[[#This Row],[팀]],표100[결과],$N$2)</f>
        <v>0</v>
      </c>
      <c r="O7" s="1">
        <f>SUMIFS(표100[득점],표100[팀],표200[[#This Row],[팀]])</f>
        <v>0</v>
      </c>
      <c r="P7" s="1">
        <f>SUMIFS(표100[실점],표100[팀],표200[[#This Row],[팀]])</f>
        <v>0</v>
      </c>
      <c r="Q7" s="1">
        <f>표200[[#This Row],[득점]]-표200[[#This Row],[실점]]</f>
        <v>0</v>
      </c>
    </row>
    <row r="8" spans="1:17" x14ac:dyDescent="0.3">
      <c r="A8" s="1"/>
      <c r="H8" s="139"/>
      <c r="I8" s="1" t="s">
        <v>44</v>
      </c>
      <c r="J8" s="1">
        <f>표200[[#This Row],[승]]*3+표200[[#This Row],[무]]</f>
        <v>0</v>
      </c>
      <c r="K8" s="1">
        <f>표200[[#This Row],[승]]+표200[[#This Row],[무]]+표200[[#This Row],[패]]</f>
        <v>0</v>
      </c>
      <c r="L8" s="1">
        <f>COUNTIFS(표100[팀],표200[[#This Row],[팀]],표100[결과],$L$2)</f>
        <v>0</v>
      </c>
      <c r="M8" s="1">
        <f>COUNTIFS(표100[팀],표200[[#This Row],[팀]],표100[결과],$M$2)</f>
        <v>0</v>
      </c>
      <c r="N8" s="1">
        <f>COUNTIFS(표100[팀],표200[[#This Row],[팀]],표100[결과],$N$2)</f>
        <v>0</v>
      </c>
      <c r="O8" s="1">
        <f>SUMIFS(표100[득점],표100[팀],표200[[#This Row],[팀]])</f>
        <v>0</v>
      </c>
      <c r="P8" s="1">
        <f>SUMIFS(표100[실점],표100[팀],표200[[#This Row],[팀]])</f>
        <v>0</v>
      </c>
      <c r="Q8" s="1">
        <f>표200[[#This Row],[득점]]-표200[[#This Row],[실점]]</f>
        <v>0</v>
      </c>
    </row>
    <row r="9" spans="1:17" x14ac:dyDescent="0.3">
      <c r="A9" s="1"/>
      <c r="H9" s="139"/>
      <c r="I9" s="1" t="s">
        <v>34</v>
      </c>
      <c r="J9" s="1">
        <f>표200[[#This Row],[승]]*3+표200[[#This Row],[무]]</f>
        <v>0</v>
      </c>
      <c r="K9" s="1">
        <f>표200[[#This Row],[승]]+표200[[#This Row],[무]]+표200[[#This Row],[패]]</f>
        <v>0</v>
      </c>
      <c r="L9" s="1">
        <f>COUNTIFS(표100[팀],표200[[#This Row],[팀]],표100[결과],$L$2)</f>
        <v>0</v>
      </c>
      <c r="M9" s="1">
        <f>COUNTIFS(표100[팀],표200[[#This Row],[팀]],표100[결과],$M$2)</f>
        <v>0</v>
      </c>
      <c r="N9" s="1">
        <f>COUNTIFS(표100[팀],표200[[#This Row],[팀]],표100[결과],$N$2)</f>
        <v>0</v>
      </c>
      <c r="O9" s="1">
        <f>SUMIFS(표100[득점],표100[팀],표200[[#This Row],[팀]])</f>
        <v>0</v>
      </c>
      <c r="P9" s="1">
        <f>SUMIFS(표100[실점],표100[팀],표200[[#This Row],[팀]])</f>
        <v>0</v>
      </c>
      <c r="Q9" s="1">
        <f>표200[[#This Row],[득점]]-표200[[#This Row],[실점]]</f>
        <v>0</v>
      </c>
    </row>
    <row r="10" spans="1:17" x14ac:dyDescent="0.3">
      <c r="A10" s="1"/>
      <c r="H10" s="139"/>
      <c r="I10" s="1" t="s">
        <v>45</v>
      </c>
      <c r="J10" s="1">
        <f>표200[[#This Row],[승]]*3+표200[[#This Row],[무]]</f>
        <v>12</v>
      </c>
      <c r="K10" s="1">
        <f>표200[[#This Row],[승]]+표200[[#This Row],[무]]+표200[[#This Row],[패]]</f>
        <v>5</v>
      </c>
      <c r="L10" s="1">
        <f>COUNTIFS(표100[팀],표200[[#This Row],[팀]],표100[결과],$L$2)</f>
        <v>4</v>
      </c>
      <c r="M10" s="1">
        <f>COUNTIFS(표100[팀],표200[[#This Row],[팀]],표100[결과],$M$2)</f>
        <v>0</v>
      </c>
      <c r="N10" s="1">
        <f>COUNTIFS(표100[팀],표200[[#This Row],[팀]],표100[결과],$N$2)</f>
        <v>1</v>
      </c>
      <c r="O10" s="1">
        <f>SUMIFS(표100[득점],표100[팀],표200[[#This Row],[팀]])</f>
        <v>26</v>
      </c>
      <c r="P10" s="1">
        <f>SUMIFS(표100[실점],표100[팀],표200[[#This Row],[팀]])</f>
        <v>14</v>
      </c>
      <c r="Q10" s="1">
        <f>표200[[#This Row],[득점]]-표200[[#This Row],[실점]]</f>
        <v>12</v>
      </c>
    </row>
    <row r="11" spans="1:17" x14ac:dyDescent="0.3">
      <c r="A11" s="1"/>
      <c r="H11" s="139"/>
      <c r="I11" s="1" t="s">
        <v>43</v>
      </c>
      <c r="J11" s="1">
        <f>표200[[#This Row],[승]]*3+표200[[#This Row],[무]]</f>
        <v>3</v>
      </c>
      <c r="K11" s="1">
        <f>표200[[#This Row],[승]]+표200[[#This Row],[무]]+표200[[#This Row],[패]]</f>
        <v>5</v>
      </c>
      <c r="L11" s="1">
        <f>COUNTIFS(표100[팀],표200[[#This Row],[팀]],표100[결과],$L$2)</f>
        <v>1</v>
      </c>
      <c r="M11" s="1">
        <f>COUNTIFS(표100[팀],표200[[#This Row],[팀]],표100[결과],$M$2)</f>
        <v>0</v>
      </c>
      <c r="N11" s="1">
        <f>COUNTIFS(표100[팀],표200[[#This Row],[팀]],표100[결과],$N$2)</f>
        <v>4</v>
      </c>
      <c r="O11" s="1">
        <f>SUMIFS(표100[득점],표100[팀],표200[[#This Row],[팀]])</f>
        <v>12</v>
      </c>
      <c r="P11" s="1">
        <f>SUMIFS(표100[실점],표100[팀],표200[[#This Row],[팀]])</f>
        <v>21</v>
      </c>
      <c r="Q11" s="1">
        <f>표200[[#This Row],[득점]]-표200[[#This Row],[실점]]</f>
        <v>-9</v>
      </c>
    </row>
    <row r="12" spans="1:17" x14ac:dyDescent="0.3">
      <c r="A12" s="1"/>
      <c r="H12" s="139"/>
      <c r="I12" s="1" t="s">
        <v>39</v>
      </c>
      <c r="J12" s="1">
        <f>표200[[#This Row],[승]]*3+표200[[#This Row],[무]]</f>
        <v>7</v>
      </c>
      <c r="K12" s="1">
        <f>표200[[#This Row],[승]]+표200[[#This Row],[무]]+표200[[#This Row],[패]]</f>
        <v>5</v>
      </c>
      <c r="L12" s="1">
        <f>COUNTIFS(표100[팀],표200[[#This Row],[팀]],표100[결과],$L$2)</f>
        <v>2</v>
      </c>
      <c r="M12" s="1">
        <f>COUNTIFS(표100[팀],표200[[#This Row],[팀]],표100[결과],$M$2)</f>
        <v>1</v>
      </c>
      <c r="N12" s="1">
        <f>COUNTIFS(표100[팀],표200[[#This Row],[팀]],표100[결과],$N$2)</f>
        <v>2</v>
      </c>
      <c r="O12" s="1">
        <f>SUMIFS(표100[득점],표100[팀],표200[[#This Row],[팀]])</f>
        <v>11</v>
      </c>
      <c r="P12" s="1">
        <f>SUMIFS(표100[실점],표100[팀],표200[[#This Row],[팀]])</f>
        <v>12</v>
      </c>
      <c r="Q12" s="1">
        <f>표200[[#This Row],[득점]]-표200[[#This Row],[실점]]</f>
        <v>-1</v>
      </c>
    </row>
    <row r="13" spans="1:17" x14ac:dyDescent="0.3">
      <c r="H13" s="139"/>
      <c r="I13" s="1" t="s">
        <v>41</v>
      </c>
      <c r="J13" s="1">
        <f>표200[[#This Row],[승]]*3+표200[[#This Row],[무]]</f>
        <v>12</v>
      </c>
      <c r="K13" s="1">
        <f>표200[[#This Row],[승]]+표200[[#This Row],[무]]+표200[[#This Row],[패]]</f>
        <v>5</v>
      </c>
      <c r="L13" s="1">
        <f>COUNTIFS(표100[팀],표200[[#This Row],[팀]],표100[결과],$L$2)</f>
        <v>4</v>
      </c>
      <c r="M13" s="1">
        <f>COUNTIFS(표100[팀],표200[[#This Row],[팀]],표100[결과],$M$2)</f>
        <v>0</v>
      </c>
      <c r="N13" s="1">
        <f>COUNTIFS(표100[팀],표200[[#This Row],[팀]],표100[결과],$N$2)</f>
        <v>1</v>
      </c>
      <c r="O13" s="1">
        <f>SUMIFS(표100[득점],표100[팀],표200[[#This Row],[팀]])</f>
        <v>16</v>
      </c>
      <c r="P13" s="1">
        <f>SUMIFS(표100[실점],표100[팀],표200[[#This Row],[팀]])</f>
        <v>9</v>
      </c>
      <c r="Q13" s="1">
        <f>표200[[#This Row],[득점]]-표200[[#This Row],[실점]]</f>
        <v>7</v>
      </c>
    </row>
    <row r="14" spans="1:17" x14ac:dyDescent="0.3">
      <c r="H14" s="139"/>
      <c r="I14" s="1" t="s">
        <v>42</v>
      </c>
      <c r="J14" s="1">
        <f>표200[[#This Row],[승]]*3+표200[[#This Row],[무]]</f>
        <v>9</v>
      </c>
      <c r="K14" s="1">
        <f>표200[[#This Row],[승]]+표200[[#This Row],[무]]+표200[[#This Row],[패]]</f>
        <v>5</v>
      </c>
      <c r="L14" s="1">
        <f>COUNTIFS(표100[팀],표200[[#This Row],[팀]],표100[결과],$L$2)</f>
        <v>3</v>
      </c>
      <c r="M14" s="1">
        <f>COUNTIFS(표100[팀],표200[[#This Row],[팀]],표100[결과],$M$2)</f>
        <v>0</v>
      </c>
      <c r="N14" s="1">
        <f>COUNTIFS(표100[팀],표200[[#This Row],[팀]],표100[결과],$N$2)</f>
        <v>2</v>
      </c>
      <c r="O14" s="1">
        <f>SUMIFS(표100[득점],표100[팀],표200[[#This Row],[팀]])</f>
        <v>20</v>
      </c>
      <c r="P14" s="1">
        <f>SUMIFS(표100[실점],표100[팀],표200[[#This Row],[팀]])</f>
        <v>17</v>
      </c>
      <c r="Q14" s="1">
        <f>표200[[#This Row],[득점]]-표200[[#This Row],[실점]]</f>
        <v>3</v>
      </c>
    </row>
    <row r="15" spans="1:17" x14ac:dyDescent="0.3">
      <c r="H15" s="139"/>
    </row>
    <row r="16" spans="1:17" x14ac:dyDescent="0.3">
      <c r="H16" s="139"/>
    </row>
    <row r="17" spans="8:8" x14ac:dyDescent="0.3">
      <c r="H17" s="139"/>
    </row>
    <row r="18" spans="8:8" x14ac:dyDescent="0.3">
      <c r="H18" s="139"/>
    </row>
    <row r="19" spans="8:8" x14ac:dyDescent="0.3">
      <c r="H19" s="139"/>
    </row>
    <row r="20" spans="8:8" x14ac:dyDescent="0.3">
      <c r="H20" s="139"/>
    </row>
    <row r="21" spans="8:8" x14ac:dyDescent="0.3">
      <c r="H21" s="139"/>
    </row>
    <row r="22" spans="8:8" x14ac:dyDescent="0.3">
      <c r="H22" s="139"/>
    </row>
    <row r="23" spans="8:8" x14ac:dyDescent="0.3">
      <c r="H23" s="139"/>
    </row>
    <row r="24" spans="8:8" x14ac:dyDescent="0.3">
      <c r="H24" s="139"/>
    </row>
    <row r="25" spans="8:8" x14ac:dyDescent="0.3">
      <c r="H25" s="139"/>
    </row>
    <row r="26" spans="8:8" x14ac:dyDescent="0.3">
      <c r="H26" s="139"/>
    </row>
    <row r="27" spans="8:8" x14ac:dyDescent="0.3">
      <c r="H27" s="139"/>
    </row>
    <row r="28" spans="8:8" x14ac:dyDescent="0.3">
      <c r="H28" s="139"/>
    </row>
    <row r="29" spans="8:8" x14ac:dyDescent="0.3">
      <c r="H29" s="139"/>
    </row>
    <row r="30" spans="8:8" x14ac:dyDescent="0.3">
      <c r="H30" s="139"/>
    </row>
    <row r="31" spans="8:8" x14ac:dyDescent="0.3">
      <c r="H31" s="139"/>
    </row>
    <row r="32" spans="8:8" x14ac:dyDescent="0.3">
      <c r="H32" s="139"/>
    </row>
    <row r="33" spans="8:8" x14ac:dyDescent="0.3">
      <c r="H33" s="139"/>
    </row>
    <row r="34" spans="8:8" x14ac:dyDescent="0.3">
      <c r="H34" s="139"/>
    </row>
    <row r="35" spans="8:8" x14ac:dyDescent="0.3">
      <c r="H35" s="139"/>
    </row>
    <row r="36" spans="8:8" x14ac:dyDescent="0.3">
      <c r="H36" s="139"/>
    </row>
    <row r="37" spans="8:8" x14ac:dyDescent="0.3">
      <c r="H37" s="139"/>
    </row>
    <row r="38" spans="8:8" x14ac:dyDescent="0.3">
      <c r="H38" s="139"/>
    </row>
    <row r="39" spans="8:8" x14ac:dyDescent="0.3">
      <c r="H39" s="139"/>
    </row>
    <row r="40" spans="8:8" x14ac:dyDescent="0.3">
      <c r="H40" s="139"/>
    </row>
    <row r="41" spans="8:8" x14ac:dyDescent="0.3">
      <c r="H41" s="139"/>
    </row>
    <row r="42" spans="8:8" x14ac:dyDescent="0.3">
      <c r="H42" s="139"/>
    </row>
    <row r="43" spans="8:8" x14ac:dyDescent="0.3">
      <c r="H43" s="139"/>
    </row>
    <row r="44" spans="8:8" x14ac:dyDescent="0.3">
      <c r="H44" s="139"/>
    </row>
    <row r="45" spans="8:8" x14ac:dyDescent="0.3">
      <c r="H45" s="139"/>
    </row>
    <row r="46" spans="8:8" x14ac:dyDescent="0.3">
      <c r="H46" s="139"/>
    </row>
    <row r="47" spans="8:8" x14ac:dyDescent="0.3">
      <c r="H47" s="139"/>
    </row>
    <row r="48" spans="8:8" x14ac:dyDescent="0.3">
      <c r="H48" s="139"/>
    </row>
    <row r="49" spans="8:8" x14ac:dyDescent="0.3">
      <c r="H49" s="139"/>
    </row>
    <row r="50" spans="8:8" x14ac:dyDescent="0.3">
      <c r="H50" s="139"/>
    </row>
    <row r="51" spans="8:8" x14ac:dyDescent="0.3">
      <c r="H51" s="139"/>
    </row>
    <row r="52" spans="8:8" x14ac:dyDescent="0.3">
      <c r="H52" s="139"/>
    </row>
    <row r="53" spans="8:8" x14ac:dyDescent="0.3">
      <c r="H53" s="139"/>
    </row>
    <row r="54" spans="8:8" x14ac:dyDescent="0.3">
      <c r="H54" s="139"/>
    </row>
    <row r="55" spans="8:8" x14ac:dyDescent="0.3">
      <c r="H55" s="139"/>
    </row>
    <row r="56" spans="8:8" x14ac:dyDescent="0.3">
      <c r="H56" s="139"/>
    </row>
    <row r="57" spans="8:8" x14ac:dyDescent="0.3">
      <c r="H57" s="139"/>
    </row>
    <row r="58" spans="8:8" x14ac:dyDescent="0.3">
      <c r="H58" s="139"/>
    </row>
    <row r="59" spans="8:8" x14ac:dyDescent="0.3">
      <c r="H59" s="139"/>
    </row>
    <row r="60" spans="8:8" x14ac:dyDescent="0.3">
      <c r="H60" s="139"/>
    </row>
    <row r="61" spans="8:8" x14ac:dyDescent="0.3">
      <c r="H61" s="139"/>
    </row>
    <row r="62" spans="8:8" x14ac:dyDescent="0.3">
      <c r="H62" s="139"/>
    </row>
    <row r="63" spans="8:8" x14ac:dyDescent="0.3">
      <c r="H63" s="139"/>
    </row>
    <row r="64" spans="8:8" x14ac:dyDescent="0.3">
      <c r="H64" s="139"/>
    </row>
    <row r="65" spans="8:8" x14ac:dyDescent="0.3">
      <c r="H65" s="139"/>
    </row>
    <row r="66" spans="8:8" x14ac:dyDescent="0.3">
      <c r="H66" s="139"/>
    </row>
    <row r="67" spans="8:8" x14ac:dyDescent="0.3">
      <c r="H67" s="139"/>
    </row>
    <row r="68" spans="8:8" x14ac:dyDescent="0.3">
      <c r="H68" s="139"/>
    </row>
    <row r="69" spans="8:8" x14ac:dyDescent="0.3">
      <c r="H69" s="139"/>
    </row>
    <row r="70" spans="8:8" x14ac:dyDescent="0.3">
      <c r="H70" s="139"/>
    </row>
    <row r="71" spans="8:8" x14ac:dyDescent="0.3">
      <c r="H71" s="139"/>
    </row>
    <row r="72" spans="8:8" x14ac:dyDescent="0.3">
      <c r="H72" s="139"/>
    </row>
    <row r="73" spans="8:8" x14ac:dyDescent="0.3">
      <c r="H73" s="139"/>
    </row>
    <row r="74" spans="8:8" x14ac:dyDescent="0.3">
      <c r="H74" s="139"/>
    </row>
    <row r="75" spans="8:8" x14ac:dyDescent="0.3">
      <c r="H75" s="139"/>
    </row>
    <row r="76" spans="8:8" x14ac:dyDescent="0.3">
      <c r="H76" s="139"/>
    </row>
    <row r="77" spans="8:8" x14ac:dyDescent="0.3">
      <c r="H77" s="139"/>
    </row>
    <row r="78" spans="8:8" x14ac:dyDescent="0.3">
      <c r="H78" s="139"/>
    </row>
    <row r="79" spans="8:8" x14ac:dyDescent="0.3">
      <c r="H79" s="139"/>
    </row>
    <row r="80" spans="8:8" x14ac:dyDescent="0.3">
      <c r="H80" s="139"/>
    </row>
    <row r="81" spans="8:8" x14ac:dyDescent="0.3">
      <c r="H81" s="139"/>
    </row>
    <row r="82" spans="8:8" x14ac:dyDescent="0.3">
      <c r="H82" s="139"/>
    </row>
    <row r="83" spans="8:8" x14ac:dyDescent="0.3">
      <c r="H83" s="139"/>
    </row>
    <row r="84" spans="8:8" x14ac:dyDescent="0.3">
      <c r="H84" s="139"/>
    </row>
    <row r="85" spans="8:8" x14ac:dyDescent="0.3">
      <c r="H85" s="139"/>
    </row>
    <row r="86" spans="8:8" x14ac:dyDescent="0.3">
      <c r="H86" s="139"/>
    </row>
    <row r="87" spans="8:8" x14ac:dyDescent="0.3">
      <c r="H87" s="139"/>
    </row>
    <row r="88" spans="8:8" x14ac:dyDescent="0.3">
      <c r="H88" s="139"/>
    </row>
    <row r="89" spans="8:8" x14ac:dyDescent="0.3">
      <c r="H89" s="139"/>
    </row>
    <row r="90" spans="8:8" x14ac:dyDescent="0.3">
      <c r="H90" s="139"/>
    </row>
    <row r="91" spans="8:8" x14ac:dyDescent="0.3">
      <c r="H91" s="139"/>
    </row>
    <row r="92" spans="8:8" x14ac:dyDescent="0.3">
      <c r="H92" s="139"/>
    </row>
    <row r="93" spans="8:8" x14ac:dyDescent="0.3">
      <c r="H93" s="139"/>
    </row>
    <row r="94" spans="8:8" x14ac:dyDescent="0.3">
      <c r="H94" s="139"/>
    </row>
    <row r="95" spans="8:8" x14ac:dyDescent="0.3">
      <c r="H95" s="139"/>
    </row>
    <row r="96" spans="8:8" x14ac:dyDescent="0.3">
      <c r="H96" s="139"/>
    </row>
    <row r="97" spans="8:8" x14ac:dyDescent="0.3">
      <c r="H97" s="139"/>
    </row>
    <row r="98" spans="8:8" x14ac:dyDescent="0.3">
      <c r="H98" s="139"/>
    </row>
    <row r="99" spans="8:8" x14ac:dyDescent="0.3">
      <c r="H99" s="139"/>
    </row>
    <row r="100" spans="8:8" x14ac:dyDescent="0.3">
      <c r="H100" s="139"/>
    </row>
    <row r="101" spans="8:8" x14ac:dyDescent="0.3">
      <c r="H101" s="139"/>
    </row>
    <row r="102" spans="8:8" x14ac:dyDescent="0.3">
      <c r="H102" s="139"/>
    </row>
    <row r="103" spans="8:8" x14ac:dyDescent="0.3">
      <c r="H103" s="139"/>
    </row>
    <row r="104" spans="8:8" x14ac:dyDescent="0.3">
      <c r="H104" s="139"/>
    </row>
    <row r="105" spans="8:8" x14ac:dyDescent="0.3">
      <c r="H105" s="139"/>
    </row>
    <row r="106" spans="8:8" x14ac:dyDescent="0.3">
      <c r="H106" s="139"/>
    </row>
    <row r="107" spans="8:8" x14ac:dyDescent="0.3">
      <c r="H107" s="139"/>
    </row>
    <row r="108" spans="8:8" x14ac:dyDescent="0.3">
      <c r="H108" s="139"/>
    </row>
    <row r="109" spans="8:8" x14ac:dyDescent="0.3">
      <c r="H109" s="139"/>
    </row>
    <row r="110" spans="8:8" x14ac:dyDescent="0.3">
      <c r="H110" s="139"/>
    </row>
    <row r="111" spans="8:8" x14ac:dyDescent="0.3">
      <c r="H111" s="139"/>
    </row>
    <row r="112" spans="8:8" x14ac:dyDescent="0.3">
      <c r="H112" s="139"/>
    </row>
    <row r="113" spans="8:8" x14ac:dyDescent="0.3">
      <c r="H113" s="139"/>
    </row>
    <row r="114" spans="8:8" x14ac:dyDescent="0.3">
      <c r="H114" s="139"/>
    </row>
    <row r="115" spans="8:8" x14ac:dyDescent="0.3">
      <c r="H115" s="139"/>
    </row>
    <row r="116" spans="8:8" x14ac:dyDescent="0.3">
      <c r="H116" s="139"/>
    </row>
    <row r="117" spans="8:8" x14ac:dyDescent="0.3">
      <c r="H117" s="139"/>
    </row>
    <row r="118" spans="8:8" x14ac:dyDescent="0.3">
      <c r="H118" s="139"/>
    </row>
    <row r="119" spans="8:8" x14ac:dyDescent="0.3">
      <c r="H119" s="139"/>
    </row>
    <row r="120" spans="8:8" x14ac:dyDescent="0.3">
      <c r="H120" s="139"/>
    </row>
    <row r="121" spans="8:8" x14ac:dyDescent="0.3">
      <c r="H121" s="139"/>
    </row>
    <row r="122" spans="8:8" x14ac:dyDescent="0.3">
      <c r="H122" s="139"/>
    </row>
    <row r="123" spans="8:8" x14ac:dyDescent="0.3">
      <c r="H123" s="139"/>
    </row>
    <row r="124" spans="8:8" x14ac:dyDescent="0.3">
      <c r="H124" s="139"/>
    </row>
    <row r="125" spans="8:8" x14ac:dyDescent="0.3">
      <c r="H125" s="139"/>
    </row>
    <row r="126" spans="8:8" x14ac:dyDescent="0.3">
      <c r="H126" s="139"/>
    </row>
    <row r="127" spans="8:8" x14ac:dyDescent="0.3">
      <c r="H127" s="139"/>
    </row>
    <row r="128" spans="8:8" x14ac:dyDescent="0.3">
      <c r="H128" s="139"/>
    </row>
    <row r="129" spans="8:8" x14ac:dyDescent="0.3">
      <c r="H129" s="139"/>
    </row>
    <row r="130" spans="8:8" x14ac:dyDescent="0.3">
      <c r="H130" s="139"/>
    </row>
    <row r="131" spans="8:8" x14ac:dyDescent="0.3">
      <c r="H131" s="139"/>
    </row>
    <row r="132" spans="8:8" x14ac:dyDescent="0.3">
      <c r="H132" s="139"/>
    </row>
    <row r="133" spans="8:8" x14ac:dyDescent="0.3">
      <c r="H133" s="139"/>
    </row>
    <row r="134" spans="8:8" x14ac:dyDescent="0.3">
      <c r="H134" s="139"/>
    </row>
    <row r="135" spans="8:8" x14ac:dyDescent="0.3">
      <c r="H135" s="139"/>
    </row>
    <row r="136" spans="8:8" x14ac:dyDescent="0.3">
      <c r="H136" s="139"/>
    </row>
    <row r="137" spans="8:8" x14ac:dyDescent="0.3">
      <c r="H137" s="139"/>
    </row>
    <row r="138" spans="8:8" x14ac:dyDescent="0.3">
      <c r="H138" s="139"/>
    </row>
    <row r="139" spans="8:8" x14ac:dyDescent="0.3">
      <c r="H139" s="139"/>
    </row>
    <row r="140" spans="8:8" x14ac:dyDescent="0.3">
      <c r="H140" s="139"/>
    </row>
    <row r="141" spans="8:8" x14ac:dyDescent="0.3">
      <c r="H141" s="139"/>
    </row>
    <row r="142" spans="8:8" x14ac:dyDescent="0.3">
      <c r="H142" s="139"/>
    </row>
    <row r="143" spans="8:8" x14ac:dyDescent="0.3">
      <c r="H143" s="139"/>
    </row>
    <row r="144" spans="8:8" x14ac:dyDescent="0.3">
      <c r="H144" s="139"/>
    </row>
    <row r="145" spans="8:8" x14ac:dyDescent="0.3">
      <c r="H145" s="139"/>
    </row>
    <row r="146" spans="8:8" x14ac:dyDescent="0.3">
      <c r="H146" s="139"/>
    </row>
    <row r="147" spans="8:8" x14ac:dyDescent="0.3">
      <c r="H147" s="139"/>
    </row>
    <row r="148" spans="8:8" x14ac:dyDescent="0.3">
      <c r="H148" s="139"/>
    </row>
    <row r="149" spans="8:8" x14ac:dyDescent="0.3">
      <c r="H149" s="139"/>
    </row>
    <row r="150" spans="8:8" x14ac:dyDescent="0.3">
      <c r="H150" s="139"/>
    </row>
    <row r="151" spans="8:8" x14ac:dyDescent="0.3">
      <c r="H151" s="139"/>
    </row>
    <row r="152" spans="8:8" x14ac:dyDescent="0.3">
      <c r="H152" s="139"/>
    </row>
    <row r="153" spans="8:8" x14ac:dyDescent="0.3">
      <c r="H153" s="139"/>
    </row>
    <row r="154" spans="8:8" x14ac:dyDescent="0.3">
      <c r="H154" s="139"/>
    </row>
    <row r="155" spans="8:8" x14ac:dyDescent="0.3">
      <c r="H155" s="139"/>
    </row>
    <row r="156" spans="8:8" x14ac:dyDescent="0.3">
      <c r="H156" s="139"/>
    </row>
    <row r="157" spans="8:8" x14ac:dyDescent="0.3">
      <c r="H157" s="139"/>
    </row>
    <row r="158" spans="8:8" x14ac:dyDescent="0.3">
      <c r="H158" s="139"/>
    </row>
    <row r="159" spans="8:8" x14ac:dyDescent="0.3">
      <c r="H159" s="139"/>
    </row>
    <row r="160" spans="8:8" x14ac:dyDescent="0.3">
      <c r="H160" s="139"/>
    </row>
    <row r="161" spans="8:8" x14ac:dyDescent="0.3">
      <c r="H161" s="139"/>
    </row>
    <row r="162" spans="8:8" x14ac:dyDescent="0.3">
      <c r="H162" s="139"/>
    </row>
    <row r="163" spans="8:8" x14ac:dyDescent="0.3">
      <c r="H163" s="139"/>
    </row>
    <row r="164" spans="8:8" x14ac:dyDescent="0.3">
      <c r="H164" s="139"/>
    </row>
    <row r="165" spans="8:8" x14ac:dyDescent="0.3">
      <c r="H165" s="139"/>
    </row>
    <row r="166" spans="8:8" x14ac:dyDescent="0.3">
      <c r="H166" s="139"/>
    </row>
    <row r="167" spans="8:8" x14ac:dyDescent="0.3">
      <c r="H167" s="139"/>
    </row>
    <row r="168" spans="8:8" x14ac:dyDescent="0.3">
      <c r="H168" s="139"/>
    </row>
    <row r="169" spans="8:8" x14ac:dyDescent="0.3">
      <c r="H169" s="139"/>
    </row>
    <row r="170" spans="8:8" x14ac:dyDescent="0.3">
      <c r="H170" s="139"/>
    </row>
    <row r="171" spans="8:8" x14ac:dyDescent="0.3">
      <c r="H171" s="139"/>
    </row>
    <row r="172" spans="8:8" x14ac:dyDescent="0.3">
      <c r="H172" s="139"/>
    </row>
    <row r="173" spans="8:8" x14ac:dyDescent="0.3">
      <c r="H173" s="139"/>
    </row>
    <row r="174" spans="8:8" x14ac:dyDescent="0.3">
      <c r="H174" s="139"/>
    </row>
    <row r="175" spans="8:8" x14ac:dyDescent="0.3">
      <c r="H175" s="139"/>
    </row>
    <row r="176" spans="8:8" x14ac:dyDescent="0.3">
      <c r="H176" s="139"/>
    </row>
    <row r="177" spans="8:8" x14ac:dyDescent="0.3">
      <c r="H177" s="139"/>
    </row>
    <row r="178" spans="8:8" x14ac:dyDescent="0.3">
      <c r="H178" s="139"/>
    </row>
    <row r="179" spans="8:8" x14ac:dyDescent="0.3">
      <c r="H179" s="139"/>
    </row>
    <row r="180" spans="8:8" x14ac:dyDescent="0.3">
      <c r="H180" s="139"/>
    </row>
    <row r="181" spans="8:8" x14ac:dyDescent="0.3">
      <c r="H181" s="139"/>
    </row>
    <row r="182" spans="8:8" x14ac:dyDescent="0.3">
      <c r="H182" s="139"/>
    </row>
    <row r="183" spans="8:8" x14ac:dyDescent="0.3">
      <c r="H183" s="139"/>
    </row>
    <row r="184" spans="8:8" x14ac:dyDescent="0.3">
      <c r="H184" s="139"/>
    </row>
    <row r="185" spans="8:8" x14ac:dyDescent="0.3">
      <c r="H185" s="139"/>
    </row>
    <row r="186" spans="8:8" x14ac:dyDescent="0.3">
      <c r="H186" s="139"/>
    </row>
    <row r="187" spans="8:8" x14ac:dyDescent="0.3">
      <c r="H187" s="139"/>
    </row>
    <row r="188" spans="8:8" x14ac:dyDescent="0.3">
      <c r="H188" s="139"/>
    </row>
    <row r="189" spans="8:8" x14ac:dyDescent="0.3">
      <c r="H189" s="139"/>
    </row>
    <row r="190" spans="8:8" x14ac:dyDescent="0.3">
      <c r="H190" s="139"/>
    </row>
    <row r="191" spans="8:8" x14ac:dyDescent="0.3">
      <c r="H191" s="139"/>
    </row>
    <row r="192" spans="8:8" x14ac:dyDescent="0.3">
      <c r="H192" s="139"/>
    </row>
    <row r="193" spans="8:8" x14ac:dyDescent="0.3">
      <c r="H193" s="139"/>
    </row>
    <row r="194" spans="8:8" x14ac:dyDescent="0.3">
      <c r="H194" s="139"/>
    </row>
    <row r="195" spans="8:8" x14ac:dyDescent="0.3">
      <c r="H195" s="139"/>
    </row>
    <row r="196" spans="8:8" x14ac:dyDescent="0.3">
      <c r="H196" s="139"/>
    </row>
    <row r="197" spans="8:8" x14ac:dyDescent="0.3">
      <c r="H197" s="139"/>
    </row>
    <row r="198" spans="8:8" x14ac:dyDescent="0.3">
      <c r="H198" s="139"/>
    </row>
    <row r="199" spans="8:8" x14ac:dyDescent="0.3">
      <c r="H199" s="139"/>
    </row>
    <row r="200" spans="8:8" x14ac:dyDescent="0.3">
      <c r="H200" s="139"/>
    </row>
    <row r="201" spans="8:8" x14ac:dyDescent="0.3">
      <c r="H201" s="139"/>
    </row>
    <row r="202" spans="8:8" x14ac:dyDescent="0.3">
      <c r="H202" s="139"/>
    </row>
    <row r="203" spans="8:8" x14ac:dyDescent="0.3">
      <c r="H203" s="139"/>
    </row>
    <row r="204" spans="8:8" x14ac:dyDescent="0.3">
      <c r="H204" s="139"/>
    </row>
    <row r="205" spans="8:8" x14ac:dyDescent="0.3">
      <c r="H205" s="139"/>
    </row>
    <row r="206" spans="8:8" x14ac:dyDescent="0.3">
      <c r="H206" s="139"/>
    </row>
    <row r="207" spans="8:8" x14ac:dyDescent="0.3">
      <c r="H207" s="139"/>
    </row>
    <row r="208" spans="8:8" x14ac:dyDescent="0.3">
      <c r="H208" s="139"/>
    </row>
    <row r="209" spans="8:8" x14ac:dyDescent="0.3">
      <c r="H209" s="139"/>
    </row>
    <row r="210" spans="8:8" x14ac:dyDescent="0.3">
      <c r="H210" s="139"/>
    </row>
    <row r="211" spans="8:8" x14ac:dyDescent="0.3">
      <c r="H211" s="139"/>
    </row>
    <row r="212" spans="8:8" x14ac:dyDescent="0.3">
      <c r="H212" s="139"/>
    </row>
    <row r="213" spans="8:8" x14ac:dyDescent="0.3">
      <c r="H213" s="139"/>
    </row>
    <row r="214" spans="8:8" x14ac:dyDescent="0.3">
      <c r="H214" s="139"/>
    </row>
    <row r="215" spans="8:8" x14ac:dyDescent="0.3">
      <c r="H215" s="139"/>
    </row>
    <row r="216" spans="8:8" x14ac:dyDescent="0.3">
      <c r="H216" s="139"/>
    </row>
    <row r="217" spans="8:8" x14ac:dyDescent="0.3">
      <c r="H217" s="139"/>
    </row>
    <row r="218" spans="8:8" x14ac:dyDescent="0.3">
      <c r="H218" s="139"/>
    </row>
    <row r="219" spans="8:8" x14ac:dyDescent="0.3">
      <c r="H219" s="139"/>
    </row>
    <row r="220" spans="8:8" x14ac:dyDescent="0.3">
      <c r="H220" s="139"/>
    </row>
    <row r="221" spans="8:8" x14ac:dyDescent="0.3">
      <c r="H221" s="139"/>
    </row>
    <row r="222" spans="8:8" x14ac:dyDescent="0.3">
      <c r="H222" s="139"/>
    </row>
    <row r="223" spans="8:8" x14ac:dyDescent="0.3">
      <c r="H223" s="139"/>
    </row>
  </sheetData>
  <phoneticPr fontId="7" type="noConversion"/>
  <conditionalFormatting sqref="G1:G2 G224:G1048576">
    <cfRule type="cellIs" dxfId="0" priority="2" operator="equal">
      <formula>"파리"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330B-98B2-4916-B11A-50F1B466CE25}">
  <dimension ref="B1:AR121"/>
  <sheetViews>
    <sheetView zoomScaleNormal="100" workbookViewId="0">
      <selection activeCell="S22" sqref="S22"/>
    </sheetView>
  </sheetViews>
  <sheetFormatPr defaultRowHeight="15.7" x14ac:dyDescent="0.3"/>
  <cols>
    <col min="1" max="1" width="1.625" customWidth="1"/>
    <col min="3" max="3" width="14.875" customWidth="1"/>
    <col min="4" max="4" width="10.125" customWidth="1"/>
    <col min="5" max="7" width="6.875" customWidth="1"/>
    <col min="11" max="11" width="13.5" customWidth="1"/>
    <col min="12" max="12" width="1.625" customWidth="1"/>
    <col min="14" max="14" width="14.875" customWidth="1"/>
    <col min="15" max="15" width="10.125" customWidth="1"/>
    <col min="16" max="18" width="6.875" customWidth="1"/>
    <col min="22" max="22" width="13.5" customWidth="1"/>
    <col min="23" max="23" width="1.625" customWidth="1"/>
    <col min="25" max="25" width="14.875" customWidth="1"/>
    <col min="26" max="26" width="10.125" customWidth="1"/>
    <col min="27" max="29" width="6.875" customWidth="1"/>
    <col min="33" max="33" width="13.5" customWidth="1"/>
    <col min="34" max="34" width="1.625" customWidth="1"/>
    <col min="36" max="36" width="14.875" customWidth="1"/>
    <col min="37" max="37" width="10.125" customWidth="1"/>
    <col min="38" max="40" width="6.875" customWidth="1"/>
    <col min="44" max="44" width="13.5" customWidth="1"/>
  </cols>
  <sheetData>
    <row r="1" spans="2:44" ht="16.399999999999999" thickBot="1" x14ac:dyDescent="0.35"/>
    <row r="2" spans="2:44" ht="34.950000000000003" customHeight="1" thickBot="1" x14ac:dyDescent="0.35">
      <c r="B2" s="162" t="s">
        <v>74</v>
      </c>
      <c r="C2" s="163"/>
      <c r="D2" s="163"/>
      <c r="E2" s="163"/>
      <c r="F2" s="163"/>
      <c r="G2" s="163"/>
      <c r="H2" s="163"/>
      <c r="I2" s="163"/>
      <c r="J2" s="163"/>
      <c r="K2" s="164"/>
      <c r="M2" s="162" t="s">
        <v>75</v>
      </c>
      <c r="N2" s="163"/>
      <c r="O2" s="163"/>
      <c r="P2" s="163"/>
      <c r="Q2" s="163"/>
      <c r="R2" s="163"/>
      <c r="S2" s="163"/>
      <c r="T2" s="163"/>
      <c r="U2" s="163"/>
      <c r="V2" s="164"/>
      <c r="X2" s="162" t="s">
        <v>76</v>
      </c>
      <c r="Y2" s="163"/>
      <c r="Z2" s="163"/>
      <c r="AA2" s="163"/>
      <c r="AB2" s="163"/>
      <c r="AC2" s="163"/>
      <c r="AD2" s="163"/>
      <c r="AE2" s="163"/>
      <c r="AF2" s="163"/>
      <c r="AG2" s="164"/>
      <c r="AI2" s="162" t="s">
        <v>77</v>
      </c>
      <c r="AJ2" s="163"/>
      <c r="AK2" s="163"/>
      <c r="AL2" s="163"/>
      <c r="AM2" s="163"/>
      <c r="AN2" s="163"/>
      <c r="AO2" s="163"/>
      <c r="AP2" s="163"/>
      <c r="AQ2" s="163"/>
      <c r="AR2" s="164"/>
    </row>
    <row r="3" spans="2:44" ht="16.399999999999999" thickBot="1" x14ac:dyDescent="0.35"/>
    <row r="4" spans="2:44" ht="21.4" customHeight="1" thickBot="1" x14ac:dyDescent="0.35">
      <c r="B4" s="65" t="s">
        <v>64</v>
      </c>
      <c r="C4" s="60" t="s">
        <v>20</v>
      </c>
      <c r="D4" s="61" t="s">
        <v>62</v>
      </c>
      <c r="E4" s="62" t="s">
        <v>17</v>
      </c>
      <c r="F4" s="62" t="s">
        <v>15</v>
      </c>
      <c r="G4" s="62" t="s">
        <v>32</v>
      </c>
      <c r="H4" s="63" t="s">
        <v>55</v>
      </c>
      <c r="I4" s="62" t="s">
        <v>57</v>
      </c>
      <c r="J4" s="64" t="s">
        <v>59</v>
      </c>
      <c r="K4" s="64" t="s">
        <v>65</v>
      </c>
      <c r="M4" s="65" t="s">
        <v>82</v>
      </c>
      <c r="N4" s="60" t="s">
        <v>20</v>
      </c>
      <c r="O4" s="61" t="s">
        <v>62</v>
      </c>
      <c r="P4" s="62" t="s">
        <v>17</v>
      </c>
      <c r="Q4" s="62" t="s">
        <v>15</v>
      </c>
      <c r="R4" s="62" t="s">
        <v>32</v>
      </c>
      <c r="S4" s="63" t="s">
        <v>55</v>
      </c>
      <c r="T4" s="62" t="s">
        <v>57</v>
      </c>
      <c r="U4" s="64" t="s">
        <v>59</v>
      </c>
      <c r="V4" s="64" t="s">
        <v>65</v>
      </c>
      <c r="X4" s="65" t="s">
        <v>64</v>
      </c>
      <c r="Y4" s="60" t="s">
        <v>20</v>
      </c>
      <c r="Z4" s="61" t="s">
        <v>62</v>
      </c>
      <c r="AA4" s="62" t="s">
        <v>17</v>
      </c>
      <c r="AB4" s="62" t="s">
        <v>15</v>
      </c>
      <c r="AC4" s="62" t="s">
        <v>32</v>
      </c>
      <c r="AD4" s="63" t="s">
        <v>55</v>
      </c>
      <c r="AE4" s="62" t="s">
        <v>57</v>
      </c>
      <c r="AF4" s="64" t="s">
        <v>59</v>
      </c>
      <c r="AG4" s="64" t="s">
        <v>65</v>
      </c>
      <c r="AI4" s="65" t="s">
        <v>64</v>
      </c>
      <c r="AJ4" s="60" t="s">
        <v>20</v>
      </c>
      <c r="AK4" s="61" t="s">
        <v>62</v>
      </c>
      <c r="AL4" s="62" t="s">
        <v>17</v>
      </c>
      <c r="AM4" s="62" t="s">
        <v>15</v>
      </c>
      <c r="AN4" s="62" t="s">
        <v>32</v>
      </c>
      <c r="AO4" s="63" t="s">
        <v>55</v>
      </c>
      <c r="AP4" s="62" t="s">
        <v>57</v>
      </c>
      <c r="AQ4" s="64" t="s">
        <v>59</v>
      </c>
      <c r="AR4" s="64" t="s">
        <v>65</v>
      </c>
    </row>
    <row r="5" spans="2:44" ht="29.95" customHeight="1" thickBot="1" x14ac:dyDescent="0.35">
      <c r="B5" s="72">
        <v>1</v>
      </c>
      <c r="C5" s="69" t="str" cm="1">
        <f t="array" ref="C5:K8">_xlfn._xlws.SORT(_xlfn._xlws.SORT(_xlfn._xlws.SORT(_xlfn._xlws.SORT((_xlfn._xlws.FILTER(표2_4[],표2_4[경기]&gt;(-1),)),7,1),6,-1),8,-1),9,-1)</f>
        <v>레버쿠젠</v>
      </c>
      <c r="D5" s="56">
        <v>4</v>
      </c>
      <c r="E5" s="57">
        <v>3</v>
      </c>
      <c r="F5" s="57">
        <v>0</v>
      </c>
      <c r="G5" s="57">
        <v>1</v>
      </c>
      <c r="H5" s="58">
        <v>11</v>
      </c>
      <c r="I5" s="57">
        <v>5</v>
      </c>
      <c r="J5" s="59">
        <v>6</v>
      </c>
      <c r="K5" s="66">
        <v>9</v>
      </c>
      <c r="M5" s="72">
        <v>1</v>
      </c>
      <c r="N5" s="69" t="str" cm="1">
        <f t="array" ref="N5:V8">_xlfn._xlws.SORT(_xlfn._xlws.SORT(_xlfn._xlws.SORT(_xlfn._xlws.SORT((_xlfn._xlws.FILTER(표2_46[],표2_46[경기]&gt;(-1),)),7,1),6,-1),8,-1),9,-1)</f>
        <v>마인츠</v>
      </c>
      <c r="O5" s="56">
        <v>2</v>
      </c>
      <c r="P5" s="57">
        <v>2</v>
      </c>
      <c r="Q5" s="57">
        <v>0</v>
      </c>
      <c r="R5" s="57">
        <v>0</v>
      </c>
      <c r="S5" s="58">
        <v>4</v>
      </c>
      <c r="T5" s="57">
        <v>2</v>
      </c>
      <c r="U5" s="59">
        <v>2</v>
      </c>
      <c r="V5" s="66">
        <v>6</v>
      </c>
      <c r="X5" s="72">
        <v>1</v>
      </c>
      <c r="Y5" s="69" t="str" cm="1">
        <f t="array" ref="Y5:AG8">_xlfn._xlws.SORT(_xlfn._xlws.SORT(_xlfn._xlws.SORT(_xlfn._xlws.SORT((_xlfn._xlws.FILTER(표2_468[],표2_468[경기]&gt;(-1),)),7,1),6,-1),8,-1),9,-1)</f>
        <v>ATM</v>
      </c>
      <c r="Z5" s="56">
        <v>2</v>
      </c>
      <c r="AA5" s="57">
        <v>2</v>
      </c>
      <c r="AB5" s="57">
        <v>0</v>
      </c>
      <c r="AC5" s="57">
        <v>0</v>
      </c>
      <c r="AD5" s="58">
        <v>7</v>
      </c>
      <c r="AE5" s="57">
        <v>0</v>
      </c>
      <c r="AF5" s="59">
        <v>7</v>
      </c>
      <c r="AG5" s="66">
        <v>6</v>
      </c>
      <c r="AI5" s="72">
        <v>1</v>
      </c>
      <c r="AJ5" s="69" t="str" cm="1">
        <f t="array" ref="AJ5:AR7">_xlfn._xlws.SORT(_xlfn._xlws.SORT(_xlfn._xlws.SORT(_xlfn._xlws.SORT((_xlfn._xlws.FILTER(표2_46810[],표2_46810[경기]&gt;(-1),)),7,1),6,-1),8,-1),9,-1)</f>
        <v>뮌헨</v>
      </c>
      <c r="AK5" s="56">
        <v>2</v>
      </c>
      <c r="AL5" s="57">
        <v>1</v>
      </c>
      <c r="AM5" s="57">
        <v>0</v>
      </c>
      <c r="AN5" s="57">
        <v>1</v>
      </c>
      <c r="AO5" s="58">
        <v>7</v>
      </c>
      <c r="AP5" s="57">
        <v>4</v>
      </c>
      <c r="AQ5" s="59">
        <v>3</v>
      </c>
      <c r="AR5" s="66">
        <v>3</v>
      </c>
    </row>
    <row r="6" spans="2:44" ht="29.95" customHeight="1" thickBot="1" x14ac:dyDescent="0.35">
      <c r="B6" s="73">
        <v>2</v>
      </c>
      <c r="C6" s="70" t="str">
        <v>뉴캐슬</v>
      </c>
      <c r="D6" s="49">
        <v>2</v>
      </c>
      <c r="E6" s="50">
        <v>1</v>
      </c>
      <c r="F6" s="50">
        <v>0</v>
      </c>
      <c r="G6" s="50">
        <v>1</v>
      </c>
      <c r="H6" s="51">
        <v>3</v>
      </c>
      <c r="I6" s="50">
        <v>3</v>
      </c>
      <c r="J6" s="52">
        <v>0</v>
      </c>
      <c r="K6" s="67">
        <v>3</v>
      </c>
      <c r="M6" s="73">
        <v>2</v>
      </c>
      <c r="N6" s="70" t="str">
        <v>레알</v>
      </c>
      <c r="O6" s="49">
        <v>2</v>
      </c>
      <c r="P6" s="50">
        <v>1</v>
      </c>
      <c r="Q6" s="50">
        <v>0</v>
      </c>
      <c r="R6" s="50">
        <v>1</v>
      </c>
      <c r="S6" s="51">
        <v>4</v>
      </c>
      <c r="T6" s="50">
        <v>3</v>
      </c>
      <c r="U6" s="52">
        <v>1</v>
      </c>
      <c r="V6" s="67">
        <v>3</v>
      </c>
      <c r="X6" s="73">
        <v>2</v>
      </c>
      <c r="Y6" s="70" t="str">
        <v>토트넘</v>
      </c>
      <c r="Z6" s="49">
        <v>0</v>
      </c>
      <c r="AA6" s="50">
        <v>0</v>
      </c>
      <c r="AB6" s="50">
        <v>0</v>
      </c>
      <c r="AC6" s="50">
        <v>0</v>
      </c>
      <c r="AD6" s="51">
        <v>0</v>
      </c>
      <c r="AE6" s="50">
        <v>0</v>
      </c>
      <c r="AF6" s="52">
        <v>0</v>
      </c>
      <c r="AG6" s="67">
        <v>0</v>
      </c>
      <c r="AI6" s="73">
        <v>2</v>
      </c>
      <c r="AJ6" s="70" t="str">
        <v>돌문</v>
      </c>
      <c r="AK6" s="49">
        <v>2</v>
      </c>
      <c r="AL6" s="50">
        <v>1</v>
      </c>
      <c r="AM6" s="50">
        <v>0</v>
      </c>
      <c r="AN6" s="50">
        <v>1</v>
      </c>
      <c r="AO6" s="51">
        <v>4</v>
      </c>
      <c r="AP6" s="50">
        <v>7</v>
      </c>
      <c r="AQ6" s="52">
        <v>-3</v>
      </c>
      <c r="AR6" s="67">
        <v>3</v>
      </c>
    </row>
    <row r="7" spans="2:44" ht="29.95" customHeight="1" thickBot="1" x14ac:dyDescent="0.35">
      <c r="B7" s="74">
        <v>3</v>
      </c>
      <c r="C7" s="71" t="str">
        <v>나폴리</v>
      </c>
      <c r="D7" s="45">
        <v>0</v>
      </c>
      <c r="E7" s="46">
        <v>0</v>
      </c>
      <c r="F7" s="46">
        <v>0</v>
      </c>
      <c r="G7" s="46">
        <v>0</v>
      </c>
      <c r="H7" s="47">
        <v>0</v>
      </c>
      <c r="I7" s="46">
        <v>0</v>
      </c>
      <c r="J7" s="48">
        <v>0</v>
      </c>
      <c r="K7" s="68">
        <v>0</v>
      </c>
      <c r="M7" s="74">
        <v>3</v>
      </c>
      <c r="N7" s="71" t="str">
        <v>맨유</v>
      </c>
      <c r="O7" s="45">
        <v>4</v>
      </c>
      <c r="P7" s="46">
        <v>1</v>
      </c>
      <c r="Q7" s="46">
        <v>0</v>
      </c>
      <c r="R7" s="46">
        <v>3</v>
      </c>
      <c r="S7" s="47">
        <v>5</v>
      </c>
      <c r="T7" s="46">
        <v>8</v>
      </c>
      <c r="U7" s="48">
        <v>-3</v>
      </c>
      <c r="V7" s="68">
        <v>3</v>
      </c>
      <c r="X7" s="74">
        <v>3</v>
      </c>
      <c r="Y7" s="71" t="str">
        <v>파리</v>
      </c>
      <c r="Z7" s="45">
        <v>0</v>
      </c>
      <c r="AA7" s="46">
        <v>0</v>
      </c>
      <c r="AB7" s="46">
        <v>0</v>
      </c>
      <c r="AC7" s="46">
        <v>0</v>
      </c>
      <c r="AD7" s="47">
        <v>0</v>
      </c>
      <c r="AE7" s="46">
        <v>0</v>
      </c>
      <c r="AF7" s="48">
        <v>0</v>
      </c>
      <c r="AG7" s="68">
        <v>0</v>
      </c>
      <c r="AI7" s="74">
        <v>3</v>
      </c>
      <c r="AJ7" s="71" t="str">
        <v>첼시</v>
      </c>
      <c r="AK7" s="45">
        <v>0</v>
      </c>
      <c r="AL7" s="46">
        <v>0</v>
      </c>
      <c r="AM7" s="46">
        <v>0</v>
      </c>
      <c r="AN7" s="46">
        <v>0</v>
      </c>
      <c r="AO7" s="47">
        <v>0</v>
      </c>
      <c r="AP7" s="46">
        <v>0</v>
      </c>
      <c r="AQ7" s="48">
        <v>0</v>
      </c>
      <c r="AR7" s="68">
        <v>0</v>
      </c>
    </row>
    <row r="8" spans="2:44" ht="29.95" customHeight="1" thickBot="1" x14ac:dyDescent="0.35">
      <c r="B8" s="75">
        <v>4</v>
      </c>
      <c r="C8" s="76" t="str">
        <v>인테르</v>
      </c>
      <c r="D8" s="77">
        <v>2</v>
      </c>
      <c r="E8" s="78">
        <v>0</v>
      </c>
      <c r="F8" s="78">
        <v>0</v>
      </c>
      <c r="G8" s="78">
        <v>2</v>
      </c>
      <c r="H8" s="79">
        <v>2</v>
      </c>
      <c r="I8" s="78">
        <v>8</v>
      </c>
      <c r="J8" s="80">
        <v>-6</v>
      </c>
      <c r="K8" s="81">
        <v>0</v>
      </c>
      <c r="M8" s="75">
        <v>4</v>
      </c>
      <c r="N8" s="76" t="str">
        <v>PSV</v>
      </c>
      <c r="O8" s="77">
        <v>0</v>
      </c>
      <c r="P8" s="78">
        <v>0</v>
      </c>
      <c r="Q8" s="78">
        <v>0</v>
      </c>
      <c r="R8" s="78">
        <v>0</v>
      </c>
      <c r="S8" s="79">
        <v>0</v>
      </c>
      <c r="T8" s="78">
        <v>0</v>
      </c>
      <c r="U8" s="80">
        <v>0</v>
      </c>
      <c r="V8" s="81">
        <v>0</v>
      </c>
      <c r="X8" s="75">
        <v>4</v>
      </c>
      <c r="Y8" s="76" t="str">
        <v>볼프스</v>
      </c>
      <c r="Z8" s="77">
        <v>2</v>
      </c>
      <c r="AA8" s="78">
        <v>0</v>
      </c>
      <c r="AB8" s="78">
        <v>0</v>
      </c>
      <c r="AC8" s="78">
        <v>2</v>
      </c>
      <c r="AD8" s="79">
        <v>0</v>
      </c>
      <c r="AE8" s="78">
        <v>7</v>
      </c>
      <c r="AF8" s="80">
        <v>-7</v>
      </c>
      <c r="AG8" s="81">
        <v>0</v>
      </c>
      <c r="AI8" s="75"/>
      <c r="AJ8" s="76"/>
      <c r="AK8" s="77"/>
      <c r="AL8" s="78"/>
      <c r="AM8" s="78"/>
      <c r="AN8" s="78"/>
      <c r="AO8" s="79"/>
      <c r="AP8" s="78"/>
      <c r="AQ8" s="80"/>
      <c r="AR8" s="81"/>
    </row>
    <row r="9" spans="2:44" ht="24.95" customHeight="1" x14ac:dyDescent="0.3"/>
    <row r="10" spans="2:44" ht="24.95" hidden="1" customHeight="1" x14ac:dyDescent="0.3">
      <c r="E10" s="1" t="s">
        <v>17</v>
      </c>
      <c r="F10" s="1" t="s">
        <v>15</v>
      </c>
      <c r="G10" s="1" t="s">
        <v>32</v>
      </c>
      <c r="P10" s="1" t="s">
        <v>17</v>
      </c>
      <c r="Q10" s="1" t="s">
        <v>15</v>
      </c>
      <c r="R10" s="1" t="s">
        <v>32</v>
      </c>
      <c r="AA10" s="1" t="s">
        <v>17</v>
      </c>
      <c r="AB10" s="1" t="s">
        <v>15</v>
      </c>
      <c r="AC10" s="1" t="s">
        <v>32</v>
      </c>
      <c r="AL10" s="1" t="s">
        <v>17</v>
      </c>
      <c r="AM10" s="1" t="s">
        <v>15</v>
      </c>
      <c r="AN10" s="1" t="s">
        <v>32</v>
      </c>
    </row>
    <row r="11" spans="2:44" ht="24.95" customHeight="1" x14ac:dyDescent="0.3">
      <c r="C11" s="1" t="s">
        <v>63</v>
      </c>
      <c r="D11" s="1" t="s">
        <v>61</v>
      </c>
      <c r="E11" s="1" t="s">
        <v>16</v>
      </c>
      <c r="F11" s="1" t="s">
        <v>14</v>
      </c>
      <c r="G11" s="1" t="s">
        <v>31</v>
      </c>
      <c r="H11" s="1" t="s">
        <v>54</v>
      </c>
      <c r="I11" s="1" t="s">
        <v>56</v>
      </c>
      <c r="J11" s="1" t="s">
        <v>58</v>
      </c>
      <c r="K11" s="1" t="s">
        <v>60</v>
      </c>
      <c r="N11" s="1" t="s">
        <v>63</v>
      </c>
      <c r="O11" s="1" t="s">
        <v>61</v>
      </c>
      <c r="P11" s="1" t="s">
        <v>16</v>
      </c>
      <c r="Q11" s="1" t="s">
        <v>14</v>
      </c>
      <c r="R11" s="1" t="s">
        <v>31</v>
      </c>
      <c r="S11" s="1" t="s">
        <v>54</v>
      </c>
      <c r="T11" s="1" t="s">
        <v>56</v>
      </c>
      <c r="U11" s="1" t="s">
        <v>58</v>
      </c>
      <c r="V11" s="1" t="s">
        <v>60</v>
      </c>
      <c r="Y11" s="1" t="s">
        <v>63</v>
      </c>
      <c r="Z11" s="1" t="s">
        <v>61</v>
      </c>
      <c r="AA11" s="1" t="s">
        <v>16</v>
      </c>
      <c r="AB11" s="1" t="s">
        <v>14</v>
      </c>
      <c r="AC11" s="1" t="s">
        <v>31</v>
      </c>
      <c r="AD11" s="1" t="s">
        <v>54</v>
      </c>
      <c r="AE11" s="1" t="s">
        <v>56</v>
      </c>
      <c r="AF11" s="1" t="s">
        <v>58</v>
      </c>
      <c r="AG11" s="1" t="s">
        <v>60</v>
      </c>
      <c r="AJ11" s="1" t="s">
        <v>63</v>
      </c>
      <c r="AK11" s="1" t="s">
        <v>61</v>
      </c>
      <c r="AL11" s="1" t="s">
        <v>16</v>
      </c>
      <c r="AM11" s="1" t="s">
        <v>14</v>
      </c>
      <c r="AN11" s="1" t="s">
        <v>31</v>
      </c>
      <c r="AO11" s="1" t="s">
        <v>54</v>
      </c>
      <c r="AP11" s="1" t="s">
        <v>56</v>
      </c>
      <c r="AQ11" s="1" t="s">
        <v>58</v>
      </c>
      <c r="AR11" s="1" t="s">
        <v>60</v>
      </c>
    </row>
    <row r="12" spans="2:44" ht="24.95" customHeight="1" x14ac:dyDescent="0.3">
      <c r="C12" s="1" t="str">
        <f>E32</f>
        <v>나폴리</v>
      </c>
      <c r="D12" s="1">
        <f>표2_4[[#This Row],[승]]+표2_4[[#This Row],[무]]+표2_4[[#This Row],[패]]</f>
        <v>0</v>
      </c>
      <c r="E12" s="1">
        <f>COUNTIFS(챔스A[팀1 결과],E$10,챔스A[팀1],표2_4[[#This Row],[팀]])+COUNTIFS(챔스A[팀2 결과],E$10,챔스A[팀2],표2_4[[#This Row],[팀]])</f>
        <v>0</v>
      </c>
      <c r="F12" s="1">
        <f>COUNTIFS(챔스A[팀1 결과],F$10,챔스A[팀1],표2_4[[#This Row],[팀]])+COUNTIFS(챔스A[팀2 결과],F$10,챔스A[팀2],표2_4[[#This Row],[팀]])</f>
        <v>0</v>
      </c>
      <c r="G12" s="1">
        <f>COUNTIFS(챔스A[팀1 결과],G$10,챔스A[팀1],표2_4[[#This Row],[팀]])+COUNTIFS(챔스A[팀2 결과],G$10,챔스A[팀2],표2_4[[#This Row],[팀]])</f>
        <v>0</v>
      </c>
      <c r="H12" s="1">
        <f>SUMIF(챔스A[팀1],표2_4[[#This Row],[팀]],챔스A[팀1 S])+SUMIF(챔스A[팀2],표2_4[[#This Row],[팀]],챔스A[팀2 S])</f>
        <v>0</v>
      </c>
      <c r="I12" s="1">
        <f>SUMIF(챔스A[팀1],표2_4[[#This Row],[팀]],챔스A[팀2 S])+SUMIF(챔스A[팀2],표2_4[[#This Row],[팀]],챔스A[팀1 S])</f>
        <v>0</v>
      </c>
      <c r="J12" s="1">
        <f>표2_4[[#This Row],[득점]]-표2_4[[#This Row],[실점]]</f>
        <v>0</v>
      </c>
      <c r="K12" s="1">
        <f>표2_4[[#This Row],[승]]*3+표2_4[[#This Row],[무]]</f>
        <v>0</v>
      </c>
      <c r="N12" s="1" t="str">
        <f>P32</f>
        <v>레알</v>
      </c>
      <c r="O12" s="1">
        <f>표2_46[[#This Row],[승]]+표2_46[[#This Row],[무]]+표2_46[[#This Row],[패]]</f>
        <v>2</v>
      </c>
      <c r="P12" s="1">
        <f>COUNTIFS(챔스A_7[팀1 결과],P$10,챔스A_7[팀1],표2_46[[#This Row],[팀]])+COUNTIFS(챔스A_7[팀2 결과],P$10,챔스A_7[팀2],표2_46[[#This Row],[팀]])</f>
        <v>1</v>
      </c>
      <c r="Q12" s="1">
        <f>COUNTIFS(챔스A_7[팀1 결과],Q$10,챔스A_7[팀1],표2_46[[#This Row],[팀]])+COUNTIFS(챔스A_7[팀2 결과],Q$10,챔스A_7[팀2],표2_46[[#This Row],[팀]])</f>
        <v>0</v>
      </c>
      <c r="R12" s="1">
        <f>COUNTIFS(챔스A_7[팀1 결과],R$10,챔스A_7[팀1],표2_46[[#This Row],[팀]])+COUNTIFS(챔스A_7[팀2 결과],R$10,챔스A_7[팀2],표2_46[[#This Row],[팀]])</f>
        <v>1</v>
      </c>
      <c r="S12" s="1">
        <f>SUMIF(챔스A_7[팀1],표2_46[[#This Row],[팀]],챔스A_7[팀1 S])+SUMIF(챔스A_7[팀2],표2_46[[#This Row],[팀]],챔스A_7[팀2 S])</f>
        <v>4</v>
      </c>
      <c r="T12" s="1">
        <f>SUMIF(챔스A_7[팀1],표2_46[[#This Row],[팀]],챔스A_7[팀2 S])+SUMIF(챔스A_7[팀2],표2_46[[#This Row],[팀]],챔스A_7[팀1 S])</f>
        <v>3</v>
      </c>
      <c r="U12" s="1">
        <f>표2_46[[#This Row],[득점]]-표2_46[[#This Row],[실점]]</f>
        <v>1</v>
      </c>
      <c r="V12" s="1">
        <f>표2_46[[#This Row],[승]]*3+표2_46[[#This Row],[무]]</f>
        <v>3</v>
      </c>
      <c r="Y12" s="1" t="str">
        <f>AA32</f>
        <v>토트넘</v>
      </c>
      <c r="Z12" s="1">
        <f>표2_468[[#This Row],[승]]+표2_468[[#This Row],[무]]+표2_468[[#This Row],[패]]</f>
        <v>0</v>
      </c>
      <c r="AA12" s="1">
        <f>COUNTIFS(챔스A_79[팀1 결과],AA$10,챔스A_79[팀1],표2_468[[#This Row],[팀]])+COUNTIFS(챔스A_79[팀2 결과],AA$10,챔스A_79[팀2],표2_468[[#This Row],[팀]])</f>
        <v>0</v>
      </c>
      <c r="AB12" s="1">
        <f>COUNTIFS(챔스A_79[팀1 결과],AB$10,챔스A_79[팀1],표2_468[[#This Row],[팀]])+COUNTIFS(챔스A_79[팀2 결과],AB$10,챔스A_79[팀2],표2_468[[#This Row],[팀]])</f>
        <v>0</v>
      </c>
      <c r="AC12" s="1">
        <f>COUNTIFS(챔스A_79[팀1 결과],AC$10,챔스A_79[팀1],표2_468[[#This Row],[팀]])+COUNTIFS(챔스A_79[팀2 결과],AC$10,챔스A_79[팀2],표2_468[[#This Row],[팀]])</f>
        <v>0</v>
      </c>
      <c r="AD12" s="1">
        <f>SUMIF(챔스A_79[팀1],표2_468[[#This Row],[팀]],챔스A_79[팀1 S])+SUMIF(챔스A_79[팀2],표2_468[[#This Row],[팀]],챔스A_79[팀2 S])</f>
        <v>0</v>
      </c>
      <c r="AE12" s="1">
        <f>SUMIF(챔스A_79[팀1],표2_468[[#This Row],[팀]],챔스A_79[팀2 S])+SUMIF(챔스A_79[팀2],표2_468[[#This Row],[팀]],챔스A_79[팀1 S])</f>
        <v>0</v>
      </c>
      <c r="AF12" s="1">
        <f>표2_468[[#This Row],[득점]]-표2_468[[#This Row],[실점]]</f>
        <v>0</v>
      </c>
      <c r="AG12" s="1">
        <f>표2_468[[#This Row],[승]]*3+표2_468[[#This Row],[무]]</f>
        <v>0</v>
      </c>
      <c r="AJ12" s="1" t="str">
        <f>AL26</f>
        <v>뮌헨</v>
      </c>
      <c r="AK12" s="1">
        <f>표2_46810[[#This Row],[승]]+표2_46810[[#This Row],[무]]+표2_46810[[#This Row],[패]]</f>
        <v>2</v>
      </c>
      <c r="AL12" s="1">
        <f>COUNTIFS(챔스A_7911[팀1 결과],AL$10,챔스A_7911[팀1],표2_46810[[#This Row],[팀]])+COUNTIFS(챔스A_7911[팀2 결과],AL$10,챔스A_7911[팀2],표2_46810[[#This Row],[팀]])</f>
        <v>1</v>
      </c>
      <c r="AM12" s="1">
        <f>COUNTIFS(챔스A_7911[팀1 결과],AM$10,챔스A_7911[팀1],표2_46810[[#This Row],[팀]])+COUNTIFS(챔스A_7911[팀2 결과],AM$10,챔스A_7911[팀2],표2_46810[[#This Row],[팀]])</f>
        <v>0</v>
      </c>
      <c r="AN12" s="1">
        <f>COUNTIFS(챔스A_7911[팀1 결과],AN$10,챔스A_7911[팀1],표2_46810[[#This Row],[팀]])+COUNTIFS(챔스A_7911[팀2 결과],AN$10,챔스A_7911[팀2],표2_46810[[#This Row],[팀]])</f>
        <v>1</v>
      </c>
      <c r="AO12" s="1">
        <f>SUMIF(챔스A_7911[팀1],표2_46810[[#This Row],[팀]],챔스A_7911[팀1 S])+SUMIF(챔스A_7911[팀2],표2_46810[[#This Row],[팀]],챔스A_7911[팀2 S])</f>
        <v>7</v>
      </c>
      <c r="AP12" s="1">
        <f>SUMIF(챔스A_7911[팀1],표2_46810[[#This Row],[팀]],챔스A_7911[팀2 S])+SUMIF(챔스A_7911[팀2],표2_46810[[#This Row],[팀]],챔스A_7911[팀1 S])</f>
        <v>4</v>
      </c>
      <c r="AQ12" s="1">
        <f>표2_46810[[#This Row],[득점]]-표2_46810[[#This Row],[실점]]</f>
        <v>3</v>
      </c>
      <c r="AR12" s="1">
        <f>표2_46810[[#This Row],[승]]*3+표2_46810[[#This Row],[무]]</f>
        <v>3</v>
      </c>
    </row>
    <row r="13" spans="2:44" ht="21.95" customHeight="1" x14ac:dyDescent="0.3">
      <c r="C13" s="1" t="str">
        <f>E33</f>
        <v>뉴캐슬</v>
      </c>
      <c r="D13" s="1">
        <f>표2_4[[#This Row],[승]]+표2_4[[#This Row],[무]]+표2_4[[#This Row],[패]]</f>
        <v>2</v>
      </c>
      <c r="E13" s="1">
        <f>COUNTIFS(챔스A[팀1 결과],E$10,챔스A[팀1],표2_4[[#This Row],[팀]])+COUNTIFS(챔스A[팀2 결과],E$10,챔스A[팀2],표2_4[[#This Row],[팀]])</f>
        <v>1</v>
      </c>
      <c r="F13" s="1">
        <f>COUNTIFS(챔스A[팀1 결과],F$10,챔스A[팀1],표2_4[[#This Row],[팀]])+COUNTIFS(챔스A[팀2 결과],F$10,챔스A[팀2],표2_4[[#This Row],[팀]])</f>
        <v>0</v>
      </c>
      <c r="G13" s="1">
        <f>COUNTIFS(챔스A[팀1 결과],G$10,챔스A[팀1],표2_4[[#This Row],[팀]])+COUNTIFS(챔스A[팀2 결과],G$10,챔스A[팀2],표2_4[[#This Row],[팀]])</f>
        <v>1</v>
      </c>
      <c r="H13" s="1">
        <f>SUMIF(챔스A[팀1],표2_4[[#This Row],[팀]],챔스A[팀1 S])+SUMIF(챔스A[팀2],표2_4[[#This Row],[팀]],챔스A[팀2 S])</f>
        <v>3</v>
      </c>
      <c r="I13" s="1">
        <f>SUMIF(챔스A[팀1],표2_4[[#This Row],[팀]],챔스A[팀2 S])+SUMIF(챔스A[팀2],표2_4[[#This Row],[팀]],챔스A[팀1 S])</f>
        <v>3</v>
      </c>
      <c r="J13" s="1">
        <f>표2_4[[#This Row],[득점]]-표2_4[[#This Row],[실점]]</f>
        <v>0</v>
      </c>
      <c r="K13" s="1">
        <f>표2_4[[#This Row],[승]]*3+표2_4[[#This Row],[무]]</f>
        <v>3</v>
      </c>
      <c r="N13" s="1" t="str">
        <f>P33</f>
        <v>마인츠</v>
      </c>
      <c r="O13" s="1">
        <f>표2_46[[#This Row],[승]]+표2_46[[#This Row],[무]]+표2_46[[#This Row],[패]]</f>
        <v>2</v>
      </c>
      <c r="P13" s="1">
        <f>COUNTIFS(챔스A_7[팀1 결과],P$10,챔스A_7[팀1],표2_46[[#This Row],[팀]])+COUNTIFS(챔스A_7[팀2 결과],P$10,챔스A_7[팀2],표2_46[[#This Row],[팀]])</f>
        <v>2</v>
      </c>
      <c r="Q13" s="1">
        <f>COUNTIFS(챔스A_7[팀1 결과],Q$10,챔스A_7[팀1],표2_46[[#This Row],[팀]])+COUNTIFS(챔스A_7[팀2 결과],Q$10,챔스A_7[팀2],표2_46[[#This Row],[팀]])</f>
        <v>0</v>
      </c>
      <c r="R13" s="1">
        <f>COUNTIFS(챔스A_7[팀1 결과],R$10,챔스A_7[팀1],표2_46[[#This Row],[팀]])+COUNTIFS(챔스A_7[팀2 결과],R$10,챔스A_7[팀2],표2_46[[#This Row],[팀]])</f>
        <v>0</v>
      </c>
      <c r="S13" s="1">
        <f>SUMIF(챔스A_7[팀1],표2_46[[#This Row],[팀]],챔스A_7[팀1 S])+SUMIF(챔스A_7[팀2],표2_46[[#This Row],[팀]],챔스A_7[팀2 S])</f>
        <v>4</v>
      </c>
      <c r="T13" s="1">
        <f>SUMIF(챔스A_7[팀1],표2_46[[#This Row],[팀]],챔스A_7[팀2 S])+SUMIF(챔스A_7[팀2],표2_46[[#This Row],[팀]],챔스A_7[팀1 S])</f>
        <v>2</v>
      </c>
      <c r="U13" s="1">
        <f>표2_46[[#This Row],[득점]]-표2_46[[#This Row],[실점]]</f>
        <v>2</v>
      </c>
      <c r="V13" s="1">
        <f>표2_46[[#This Row],[승]]*3+표2_46[[#This Row],[무]]</f>
        <v>6</v>
      </c>
      <c r="Y13" s="1" t="str">
        <f>AA33</f>
        <v>파리</v>
      </c>
      <c r="Z13" s="1">
        <f>표2_468[[#This Row],[승]]+표2_468[[#This Row],[무]]+표2_468[[#This Row],[패]]</f>
        <v>0</v>
      </c>
      <c r="AA13" s="1">
        <f>COUNTIFS(챔스A_79[팀1 결과],AA$10,챔스A_79[팀1],표2_468[[#This Row],[팀]])+COUNTIFS(챔스A_79[팀2 결과],AA$10,챔스A_79[팀2],표2_468[[#This Row],[팀]])</f>
        <v>0</v>
      </c>
      <c r="AB13" s="1">
        <f>COUNTIFS(챔스A_79[팀1 결과],AB$10,챔스A_79[팀1],표2_468[[#This Row],[팀]])+COUNTIFS(챔스A_79[팀2 결과],AB$10,챔스A_79[팀2],표2_468[[#This Row],[팀]])</f>
        <v>0</v>
      </c>
      <c r="AC13" s="1">
        <f>COUNTIFS(챔스A_79[팀1 결과],AC$10,챔스A_79[팀1],표2_468[[#This Row],[팀]])+COUNTIFS(챔스A_79[팀2 결과],AC$10,챔스A_79[팀2],표2_468[[#This Row],[팀]])</f>
        <v>0</v>
      </c>
      <c r="AD13" s="1">
        <f>SUMIF(챔스A_79[팀1],표2_468[[#This Row],[팀]],챔스A_79[팀1 S])+SUMIF(챔스A_79[팀2],표2_468[[#This Row],[팀]],챔스A_79[팀2 S])</f>
        <v>0</v>
      </c>
      <c r="AE13" s="1">
        <f>SUMIF(챔스A_79[팀1],표2_468[[#This Row],[팀]],챔스A_79[팀2 S])+SUMIF(챔스A_79[팀2],표2_468[[#This Row],[팀]],챔스A_79[팀1 S])</f>
        <v>0</v>
      </c>
      <c r="AF13" s="1">
        <f>표2_468[[#This Row],[득점]]-표2_468[[#This Row],[실점]]</f>
        <v>0</v>
      </c>
      <c r="AG13" s="1">
        <f>표2_468[[#This Row],[승]]*3+표2_468[[#This Row],[무]]</f>
        <v>0</v>
      </c>
      <c r="AJ13" s="1" t="str">
        <f>AL27</f>
        <v>첼시</v>
      </c>
      <c r="AK13" s="1">
        <f>표2_46810[[#This Row],[승]]+표2_46810[[#This Row],[무]]+표2_46810[[#This Row],[패]]</f>
        <v>0</v>
      </c>
      <c r="AL13" s="1">
        <f>COUNTIFS(챔스A_7911[팀1 결과],AL$10,챔스A_7911[팀1],표2_46810[[#This Row],[팀]])+COUNTIFS(챔스A_7911[팀2 결과],AL$10,챔스A_7911[팀2],표2_46810[[#This Row],[팀]])</f>
        <v>0</v>
      </c>
      <c r="AM13" s="1">
        <f>COUNTIFS(챔스A_7911[팀1 결과],AM$10,챔스A_7911[팀1],표2_46810[[#This Row],[팀]])+COUNTIFS(챔스A_7911[팀2 결과],AM$10,챔스A_7911[팀2],표2_46810[[#This Row],[팀]])</f>
        <v>0</v>
      </c>
      <c r="AN13" s="1">
        <f>COUNTIFS(챔스A_7911[팀1 결과],AN$10,챔스A_7911[팀1],표2_46810[[#This Row],[팀]])+COUNTIFS(챔스A_7911[팀2 결과],AN$10,챔스A_7911[팀2],표2_46810[[#This Row],[팀]])</f>
        <v>0</v>
      </c>
      <c r="AO13" s="1">
        <f>SUMIF(챔스A_7911[팀1],표2_46810[[#This Row],[팀]],챔스A_7911[팀1 S])+SUMIF(챔스A_7911[팀2],표2_46810[[#This Row],[팀]],챔스A_7911[팀2 S])</f>
        <v>0</v>
      </c>
      <c r="AP13" s="1">
        <f>SUMIF(챔스A_7911[팀1],표2_46810[[#This Row],[팀]],챔스A_7911[팀2 S])+SUMIF(챔스A_7911[팀2],표2_46810[[#This Row],[팀]],챔스A_7911[팀1 S])</f>
        <v>0</v>
      </c>
      <c r="AQ13" s="1">
        <f>표2_46810[[#This Row],[득점]]-표2_46810[[#This Row],[실점]]</f>
        <v>0</v>
      </c>
      <c r="AR13" s="1">
        <f>표2_46810[[#This Row],[승]]*3+표2_46810[[#This Row],[무]]</f>
        <v>0</v>
      </c>
    </row>
    <row r="14" spans="2:44" ht="21.95" customHeight="1" x14ac:dyDescent="0.3">
      <c r="C14" s="1" t="str">
        <f>E34</f>
        <v>레버쿠젠</v>
      </c>
      <c r="D14" s="1">
        <f>표2_4[[#This Row],[승]]+표2_4[[#This Row],[무]]+표2_4[[#This Row],[패]]</f>
        <v>4</v>
      </c>
      <c r="E14" s="1">
        <f>COUNTIFS(챔스A[팀1 결과],E$10,챔스A[팀1],표2_4[[#This Row],[팀]])+COUNTIFS(챔스A[팀2 결과],E$10,챔스A[팀2],표2_4[[#This Row],[팀]])</f>
        <v>3</v>
      </c>
      <c r="F14" s="1">
        <f>COUNTIFS(챔스A[팀1 결과],F$10,챔스A[팀1],표2_4[[#This Row],[팀]])+COUNTIFS(챔스A[팀2 결과],F$10,챔스A[팀2],표2_4[[#This Row],[팀]])</f>
        <v>0</v>
      </c>
      <c r="G14" s="1">
        <f>COUNTIFS(챔스A[팀1 결과],G$10,챔스A[팀1],표2_4[[#This Row],[팀]])+COUNTIFS(챔스A[팀2 결과],G$10,챔스A[팀2],표2_4[[#This Row],[팀]])</f>
        <v>1</v>
      </c>
      <c r="H14" s="1">
        <f>SUMIF(챔스A[팀1],표2_4[[#This Row],[팀]],챔스A[팀1 S])+SUMIF(챔스A[팀2],표2_4[[#This Row],[팀]],챔스A[팀2 S])</f>
        <v>11</v>
      </c>
      <c r="I14" s="1">
        <f>SUMIF(챔스A[팀1],표2_4[[#This Row],[팀]],챔스A[팀2 S])+SUMIF(챔스A[팀2],표2_4[[#This Row],[팀]],챔스A[팀1 S])</f>
        <v>5</v>
      </c>
      <c r="J14" s="1">
        <f>표2_4[[#This Row],[득점]]-표2_4[[#This Row],[실점]]</f>
        <v>6</v>
      </c>
      <c r="K14" s="1">
        <f>표2_4[[#This Row],[승]]*3+표2_4[[#This Row],[무]]</f>
        <v>9</v>
      </c>
      <c r="N14" s="1" t="str">
        <f>P34</f>
        <v>맨유</v>
      </c>
      <c r="O14" s="1">
        <f>표2_46[[#This Row],[승]]+표2_46[[#This Row],[무]]+표2_46[[#This Row],[패]]</f>
        <v>4</v>
      </c>
      <c r="P14" s="1">
        <f>COUNTIFS(챔스A_7[팀1 결과],P$10,챔스A_7[팀1],표2_46[[#This Row],[팀]])+COUNTIFS(챔스A_7[팀2 결과],P$10,챔스A_7[팀2],표2_46[[#This Row],[팀]])</f>
        <v>1</v>
      </c>
      <c r="Q14" s="1">
        <f>COUNTIFS(챔스A_7[팀1 결과],Q$10,챔스A_7[팀1],표2_46[[#This Row],[팀]])+COUNTIFS(챔스A_7[팀2 결과],Q$10,챔스A_7[팀2],표2_46[[#This Row],[팀]])</f>
        <v>0</v>
      </c>
      <c r="R14" s="1">
        <f>COUNTIFS(챔스A_7[팀1 결과],R$10,챔스A_7[팀1],표2_46[[#This Row],[팀]])+COUNTIFS(챔스A_7[팀2 결과],R$10,챔스A_7[팀2],표2_46[[#This Row],[팀]])</f>
        <v>3</v>
      </c>
      <c r="S14" s="1">
        <f>SUMIF(챔스A_7[팀1],표2_46[[#This Row],[팀]],챔스A_7[팀1 S])+SUMIF(챔스A_7[팀2],표2_46[[#This Row],[팀]],챔스A_7[팀2 S])</f>
        <v>5</v>
      </c>
      <c r="T14" s="1">
        <f>SUMIF(챔스A_7[팀1],표2_46[[#This Row],[팀]],챔스A_7[팀2 S])+SUMIF(챔스A_7[팀2],표2_46[[#This Row],[팀]],챔스A_7[팀1 S])</f>
        <v>8</v>
      </c>
      <c r="U14" s="1">
        <f>표2_46[[#This Row],[득점]]-표2_46[[#This Row],[실점]]</f>
        <v>-3</v>
      </c>
      <c r="V14" s="1">
        <f>표2_46[[#This Row],[승]]*3+표2_46[[#This Row],[무]]</f>
        <v>3</v>
      </c>
      <c r="Y14" s="1" t="str">
        <f>AA34</f>
        <v>ATM</v>
      </c>
      <c r="Z14" s="1">
        <f>표2_468[[#This Row],[승]]+표2_468[[#This Row],[무]]+표2_468[[#This Row],[패]]</f>
        <v>2</v>
      </c>
      <c r="AA14" s="1">
        <f>COUNTIFS(챔스A_79[팀1 결과],AA$10,챔스A_79[팀1],표2_468[[#This Row],[팀]])+COUNTIFS(챔스A_79[팀2 결과],AA$10,챔스A_79[팀2],표2_468[[#This Row],[팀]])</f>
        <v>2</v>
      </c>
      <c r="AB14" s="1">
        <f>COUNTIFS(챔스A_79[팀1 결과],AB$10,챔스A_79[팀1],표2_468[[#This Row],[팀]])+COUNTIFS(챔스A_79[팀2 결과],AB$10,챔스A_79[팀2],표2_468[[#This Row],[팀]])</f>
        <v>0</v>
      </c>
      <c r="AC14" s="1">
        <f>COUNTIFS(챔스A_79[팀1 결과],AC$10,챔스A_79[팀1],표2_468[[#This Row],[팀]])+COUNTIFS(챔스A_79[팀2 결과],AC$10,챔스A_79[팀2],표2_468[[#This Row],[팀]])</f>
        <v>0</v>
      </c>
      <c r="AD14" s="1">
        <f>SUMIF(챔스A_79[팀1],표2_468[[#This Row],[팀]],챔스A_79[팀1 S])+SUMIF(챔스A_79[팀2],표2_468[[#This Row],[팀]],챔스A_79[팀2 S])</f>
        <v>7</v>
      </c>
      <c r="AE14" s="1">
        <f>SUMIF(챔스A_79[팀1],표2_468[[#This Row],[팀]],챔스A_79[팀2 S])+SUMIF(챔스A_79[팀2],표2_468[[#This Row],[팀]],챔스A_79[팀1 S])</f>
        <v>0</v>
      </c>
      <c r="AF14" s="1">
        <f>표2_468[[#This Row],[득점]]-표2_468[[#This Row],[실점]]</f>
        <v>7</v>
      </c>
      <c r="AG14" s="1">
        <f>표2_468[[#This Row],[승]]*3+표2_468[[#This Row],[무]]</f>
        <v>6</v>
      </c>
      <c r="AJ14" s="1" t="str">
        <f>AL28</f>
        <v>돌문</v>
      </c>
      <c r="AK14" s="1">
        <f>표2_46810[[#This Row],[승]]+표2_46810[[#This Row],[무]]+표2_46810[[#This Row],[패]]</f>
        <v>2</v>
      </c>
      <c r="AL14" s="1">
        <f>COUNTIFS(챔스A_7911[팀1 결과],AL$10,챔스A_7911[팀1],표2_46810[[#This Row],[팀]])+COUNTIFS(챔스A_7911[팀2 결과],AL$10,챔스A_7911[팀2],표2_46810[[#This Row],[팀]])</f>
        <v>1</v>
      </c>
      <c r="AM14" s="1">
        <f>COUNTIFS(챔스A_7911[팀1 결과],AM$10,챔스A_7911[팀1],표2_46810[[#This Row],[팀]])+COUNTIFS(챔스A_7911[팀2 결과],AM$10,챔스A_7911[팀2],표2_46810[[#This Row],[팀]])</f>
        <v>0</v>
      </c>
      <c r="AN14" s="1">
        <f>COUNTIFS(챔스A_7911[팀1 결과],AN$10,챔스A_7911[팀1],표2_46810[[#This Row],[팀]])+COUNTIFS(챔스A_7911[팀2 결과],AN$10,챔스A_7911[팀2],표2_46810[[#This Row],[팀]])</f>
        <v>1</v>
      </c>
      <c r="AO14" s="1">
        <f>SUMIF(챔스A_7911[팀1],표2_46810[[#This Row],[팀]],챔스A_7911[팀1 S])+SUMIF(챔스A_7911[팀2],표2_46810[[#This Row],[팀]],챔스A_7911[팀2 S])</f>
        <v>4</v>
      </c>
      <c r="AP14" s="1">
        <f>SUMIF(챔스A_7911[팀1],표2_46810[[#This Row],[팀]],챔스A_7911[팀2 S])+SUMIF(챔스A_7911[팀2],표2_46810[[#This Row],[팀]],챔스A_7911[팀1 S])</f>
        <v>7</v>
      </c>
      <c r="AQ14" s="1">
        <f>표2_46810[[#This Row],[득점]]-표2_46810[[#This Row],[실점]]</f>
        <v>-3</v>
      </c>
      <c r="AR14" s="1">
        <f>표2_46810[[#This Row],[승]]*3+표2_46810[[#This Row],[무]]</f>
        <v>3</v>
      </c>
    </row>
    <row r="15" spans="2:44" ht="21.95" customHeight="1" x14ac:dyDescent="0.3">
      <c r="C15" s="1" t="str">
        <f>E35</f>
        <v>인테르</v>
      </c>
      <c r="D15" s="1">
        <f>표2_4[[#This Row],[승]]+표2_4[[#This Row],[무]]+표2_4[[#This Row],[패]]</f>
        <v>2</v>
      </c>
      <c r="E15" s="1">
        <f>COUNTIFS(챔스A[팀1 결과],E$10,챔스A[팀1],표2_4[[#This Row],[팀]])+COUNTIFS(챔스A[팀2 결과],E$10,챔스A[팀2],표2_4[[#This Row],[팀]])</f>
        <v>0</v>
      </c>
      <c r="F15" s="1">
        <f>COUNTIFS(챔스A[팀1 결과],F$10,챔스A[팀1],표2_4[[#This Row],[팀]])+COUNTIFS(챔스A[팀2 결과],F$10,챔스A[팀2],표2_4[[#This Row],[팀]])</f>
        <v>0</v>
      </c>
      <c r="G15" s="1">
        <f>COUNTIFS(챔스A[팀1 결과],G$10,챔스A[팀1],표2_4[[#This Row],[팀]])+COUNTIFS(챔스A[팀2 결과],G$10,챔스A[팀2],표2_4[[#This Row],[팀]])</f>
        <v>2</v>
      </c>
      <c r="H15" s="1">
        <f>SUMIF(챔스A[팀1],표2_4[[#This Row],[팀]],챔스A[팀1 S])+SUMIF(챔스A[팀2],표2_4[[#This Row],[팀]],챔스A[팀2 S])</f>
        <v>2</v>
      </c>
      <c r="I15" s="1">
        <f>SUMIF(챔스A[팀1],표2_4[[#This Row],[팀]],챔스A[팀2 S])+SUMIF(챔스A[팀2],표2_4[[#This Row],[팀]],챔스A[팀1 S])</f>
        <v>8</v>
      </c>
      <c r="J15" s="1">
        <f>표2_4[[#This Row],[득점]]-표2_4[[#This Row],[실점]]</f>
        <v>-6</v>
      </c>
      <c r="K15" s="1">
        <f>표2_4[[#This Row],[승]]*3+표2_4[[#This Row],[무]]</f>
        <v>0</v>
      </c>
      <c r="N15" s="1" t="str">
        <f>P35</f>
        <v>PSV</v>
      </c>
      <c r="O15" s="1">
        <f>표2_46[[#This Row],[승]]+표2_46[[#This Row],[무]]+표2_46[[#This Row],[패]]</f>
        <v>0</v>
      </c>
      <c r="P15" s="1">
        <f>COUNTIFS(챔스A_7[팀1 결과],P$10,챔스A_7[팀1],표2_46[[#This Row],[팀]])+COUNTIFS(챔스A_7[팀2 결과],P$10,챔스A_7[팀2],표2_46[[#This Row],[팀]])</f>
        <v>0</v>
      </c>
      <c r="Q15" s="1">
        <f>COUNTIFS(챔스A_7[팀1 결과],Q$10,챔스A_7[팀1],표2_46[[#This Row],[팀]])+COUNTIFS(챔스A_7[팀2 결과],Q$10,챔스A_7[팀2],표2_46[[#This Row],[팀]])</f>
        <v>0</v>
      </c>
      <c r="R15" s="1">
        <f>COUNTIFS(챔스A_7[팀1 결과],R$10,챔스A_7[팀1],표2_46[[#This Row],[팀]])+COUNTIFS(챔스A_7[팀2 결과],R$10,챔스A_7[팀2],표2_46[[#This Row],[팀]])</f>
        <v>0</v>
      </c>
      <c r="S15" s="1">
        <f>SUMIF(챔스A_7[팀1],표2_46[[#This Row],[팀]],챔스A_7[팀1 S])+SUMIF(챔스A_7[팀2],표2_46[[#This Row],[팀]],챔스A_7[팀2 S])</f>
        <v>0</v>
      </c>
      <c r="T15" s="1">
        <f>SUMIF(챔스A_7[팀1],표2_46[[#This Row],[팀]],챔스A_7[팀2 S])+SUMIF(챔스A_7[팀2],표2_46[[#This Row],[팀]],챔스A_7[팀1 S])</f>
        <v>0</v>
      </c>
      <c r="U15" s="1">
        <f>표2_46[[#This Row],[득점]]-표2_46[[#This Row],[실점]]</f>
        <v>0</v>
      </c>
      <c r="V15" s="1">
        <f>표2_46[[#This Row],[승]]*3+표2_46[[#This Row],[무]]</f>
        <v>0</v>
      </c>
      <c r="Y15" s="1" t="str">
        <f>AA35</f>
        <v>볼프스</v>
      </c>
      <c r="Z15" s="1">
        <f>표2_468[[#This Row],[승]]+표2_468[[#This Row],[무]]+표2_468[[#This Row],[패]]</f>
        <v>2</v>
      </c>
      <c r="AA15" s="1">
        <f>COUNTIFS(챔스A_79[팀1 결과],AA$10,챔스A_79[팀1],표2_468[[#This Row],[팀]])+COUNTIFS(챔스A_79[팀2 결과],AA$10,챔스A_79[팀2],표2_468[[#This Row],[팀]])</f>
        <v>0</v>
      </c>
      <c r="AB15" s="1">
        <f>COUNTIFS(챔스A_79[팀1 결과],AB$10,챔스A_79[팀1],표2_468[[#This Row],[팀]])+COUNTIFS(챔스A_79[팀2 결과],AB$10,챔스A_79[팀2],표2_468[[#This Row],[팀]])</f>
        <v>0</v>
      </c>
      <c r="AC15" s="1">
        <f>COUNTIFS(챔스A_79[팀1 결과],AC$10,챔스A_79[팀1],표2_468[[#This Row],[팀]])+COUNTIFS(챔스A_79[팀2 결과],AC$10,챔스A_79[팀2],표2_468[[#This Row],[팀]])</f>
        <v>2</v>
      </c>
      <c r="AD15" s="1">
        <f>SUMIF(챔스A_79[팀1],표2_468[[#This Row],[팀]],챔스A_79[팀1 S])+SUMIF(챔스A_79[팀2],표2_468[[#This Row],[팀]],챔스A_79[팀2 S])</f>
        <v>0</v>
      </c>
      <c r="AE15" s="1">
        <f>SUMIF(챔스A_79[팀1],표2_468[[#This Row],[팀]],챔스A_79[팀2 S])+SUMIF(챔스A_79[팀2],표2_468[[#This Row],[팀]],챔스A_79[팀1 S])</f>
        <v>7</v>
      </c>
      <c r="AF15" s="1">
        <f>표2_468[[#This Row],[득점]]-표2_468[[#This Row],[실점]]</f>
        <v>-7</v>
      </c>
      <c r="AG15" s="1">
        <f>표2_468[[#This Row],[승]]*3+표2_468[[#This Row],[무]]</f>
        <v>0</v>
      </c>
      <c r="AJ15" s="1"/>
      <c r="AK15" s="1"/>
      <c r="AL15" s="1"/>
      <c r="AM15" s="1"/>
      <c r="AN15" s="1"/>
      <c r="AO15" s="1"/>
      <c r="AP15" s="1"/>
      <c r="AQ15" s="1"/>
      <c r="AR15" s="1"/>
    </row>
    <row r="16" spans="2:44" ht="21.95" customHeight="1" x14ac:dyDescent="0.3"/>
    <row r="17" spans="4:42" ht="21.95" customHeight="1" thickBot="1" x14ac:dyDescent="0.35"/>
    <row r="18" spans="4:42" ht="21.95" customHeight="1" x14ac:dyDescent="0.3">
      <c r="D18" s="27" t="s">
        <v>48</v>
      </c>
      <c r="E18" s="28" t="s">
        <v>49</v>
      </c>
      <c r="F18" s="29" t="s">
        <v>50</v>
      </c>
      <c r="G18" s="17" t="s">
        <v>51</v>
      </c>
      <c r="H18" s="18" t="s">
        <v>52</v>
      </c>
      <c r="I18" s="19" t="s">
        <v>53</v>
      </c>
      <c r="O18" s="27" t="s">
        <v>48</v>
      </c>
      <c r="P18" s="28" t="s">
        <v>49</v>
      </c>
      <c r="Q18" s="29" t="s">
        <v>50</v>
      </c>
      <c r="R18" s="17" t="s">
        <v>51</v>
      </c>
      <c r="S18" s="18" t="s">
        <v>52</v>
      </c>
      <c r="T18" s="19" t="s">
        <v>53</v>
      </c>
      <c r="Z18" s="27" t="s">
        <v>48</v>
      </c>
      <c r="AA18" s="28" t="s">
        <v>49</v>
      </c>
      <c r="AB18" s="29" t="s">
        <v>50</v>
      </c>
      <c r="AC18" s="17" t="s">
        <v>51</v>
      </c>
      <c r="AD18" s="18" t="s">
        <v>52</v>
      </c>
      <c r="AE18" s="19" t="s">
        <v>53</v>
      </c>
      <c r="AK18" s="27" t="s">
        <v>48</v>
      </c>
      <c r="AL18" s="28" t="s">
        <v>49</v>
      </c>
      <c r="AM18" s="29" t="s">
        <v>50</v>
      </c>
      <c r="AN18" s="17" t="s">
        <v>51</v>
      </c>
      <c r="AO18" s="18" t="s">
        <v>52</v>
      </c>
      <c r="AP18" s="19" t="s">
        <v>53</v>
      </c>
    </row>
    <row r="19" spans="4:42" ht="21.95" customHeight="1" x14ac:dyDescent="0.3">
      <c r="D19" s="32" t="str">
        <f>IF(F19="","",IF(F19&gt;G19,"승",IF(F19=G19,"무",IF(F19&lt;G19,"패",""))))</f>
        <v/>
      </c>
      <c r="E19" s="11" t="str">
        <f>E32</f>
        <v>나폴리</v>
      </c>
      <c r="F19" s="33"/>
      <c r="G19" s="22"/>
      <c r="H19" s="11" t="str">
        <f>E33</f>
        <v>뉴캐슬</v>
      </c>
      <c r="I19" s="23" t="str">
        <f>IF(D19="","",IF(D19="무","무",IF(D19="승","패","승")))</f>
        <v/>
      </c>
      <c r="O19" s="32" t="str">
        <f>IF(Q19="","",IF(Q19&gt;R19,"승",IF(Q19=R19,"무",IF(Q19&lt;R19,"패",""))))</f>
        <v/>
      </c>
      <c r="P19" s="11" t="str">
        <f>P32</f>
        <v>레알</v>
      </c>
      <c r="Q19" s="33"/>
      <c r="R19" s="22"/>
      <c r="S19" s="11" t="str">
        <f>P33</f>
        <v>마인츠</v>
      </c>
      <c r="T19" s="23" t="str">
        <f>IF(O19="","",IF(O19="무","무",IF(O19="승","패","승")))</f>
        <v/>
      </c>
      <c r="Z19" s="32" t="str">
        <f>IF(AB19="","",IF(AB19&gt;AC19,"승",IF(AB19=AC19,"무",IF(AB19&lt;AC19,"패",""))))</f>
        <v/>
      </c>
      <c r="AA19" s="11" t="str">
        <f>AA32</f>
        <v>토트넘</v>
      </c>
      <c r="AB19" s="33"/>
      <c r="AC19" s="22"/>
      <c r="AD19" s="11" t="str">
        <f>AA33</f>
        <v>파리</v>
      </c>
      <c r="AE19" s="23" t="str">
        <f>IF(Z19="","",IF(Z19="무","무",IF(Z19="승","패","승")))</f>
        <v/>
      </c>
      <c r="AK19" s="32" t="str">
        <f>IF(AM19="","",IF(AM19&gt;AN19,"승",IF(AM19=AN19,"무",IF(AM19&lt;AN19,"패",""))))</f>
        <v/>
      </c>
      <c r="AL19" s="11" t="str">
        <f>AL26</f>
        <v>뮌헨</v>
      </c>
      <c r="AM19" s="33"/>
      <c r="AN19" s="22"/>
      <c r="AO19" s="11" t="str">
        <f>AL27</f>
        <v>첼시</v>
      </c>
      <c r="AP19" s="23" t="str">
        <f>IF(AK19="","",IF(AK19="무","무",IF(AK19="승","패","승")))</f>
        <v/>
      </c>
    </row>
    <row r="20" spans="4:42" ht="21.95" customHeight="1" thickBot="1" x14ac:dyDescent="0.35">
      <c r="D20" s="35" t="str">
        <f t="shared" ref="D20:D25" si="0">IF(F20="","",IF(F20&gt;G20,"승",IF(F20=G20,"무",IF(F20&lt;G20,"패",""))))</f>
        <v/>
      </c>
      <c r="E20" s="25" t="str">
        <f>E32</f>
        <v>나폴리</v>
      </c>
      <c r="F20" s="36"/>
      <c r="G20" s="24"/>
      <c r="H20" s="25" t="str">
        <f>E33</f>
        <v>뉴캐슬</v>
      </c>
      <c r="I20" s="26" t="str">
        <f t="shared" ref="I20:I25" si="1">IF(D20="","",IF(D20="무","무",IF(D20="승","패","승")))</f>
        <v/>
      </c>
      <c r="O20" s="35" t="str">
        <f t="shared" ref="O20:O25" si="2">IF(Q20="","",IF(Q20&gt;R20,"승",IF(Q20=R20,"무",IF(Q20&lt;R20,"패",""))))</f>
        <v/>
      </c>
      <c r="P20" s="25" t="str">
        <f>P32</f>
        <v>레알</v>
      </c>
      <c r="Q20" s="36"/>
      <c r="R20" s="24"/>
      <c r="S20" s="25" t="str">
        <f>P33</f>
        <v>마인츠</v>
      </c>
      <c r="T20" s="26" t="str">
        <f t="shared" ref="T20:T25" si="3">IF(O20="","",IF(O20="무","무",IF(O20="승","패","승")))</f>
        <v/>
      </c>
      <c r="Z20" s="35" t="str">
        <f t="shared" ref="Z20:Z25" si="4">IF(AB20="","",IF(AB20&gt;AC20,"승",IF(AB20=AC20,"무",IF(AB20&lt;AC20,"패",""))))</f>
        <v/>
      </c>
      <c r="AA20" s="25" t="str">
        <f>AA32</f>
        <v>토트넘</v>
      </c>
      <c r="AB20" s="36"/>
      <c r="AC20" s="24"/>
      <c r="AD20" s="25" t="str">
        <f>AA33</f>
        <v>파리</v>
      </c>
      <c r="AE20" s="26" t="str">
        <f t="shared" ref="AE20:AE25" si="5">IF(Z20="","",IF(Z20="무","무",IF(Z20="승","패","승")))</f>
        <v/>
      </c>
      <c r="AK20" s="35" t="str">
        <f t="shared" ref="AK20:AK23" si="6">IF(AM20="","",IF(AM20&gt;AN20,"승",IF(AM20=AN20,"무",IF(AM20&lt;AN20,"패",""))))</f>
        <v/>
      </c>
      <c r="AL20" s="25" t="str">
        <f>AL26</f>
        <v>뮌헨</v>
      </c>
      <c r="AM20" s="36"/>
      <c r="AN20" s="24"/>
      <c r="AO20" s="25" t="str">
        <f>AL27</f>
        <v>첼시</v>
      </c>
      <c r="AP20" s="26" t="str">
        <f t="shared" ref="AP20:AP23" si="7">IF(AK20="","",IF(AK20="무","무",IF(AK20="승","패","승")))</f>
        <v/>
      </c>
    </row>
    <row r="21" spans="4:42" ht="21.95" customHeight="1" x14ac:dyDescent="0.3">
      <c r="D21" s="37" t="str">
        <f t="shared" si="0"/>
        <v/>
      </c>
      <c r="E21" s="38" t="str">
        <f>E32</f>
        <v>나폴리</v>
      </c>
      <c r="F21" s="15"/>
      <c r="G21" s="39"/>
      <c r="H21" s="38" t="str">
        <f>E34</f>
        <v>레버쿠젠</v>
      </c>
      <c r="I21" s="15" t="str">
        <f t="shared" si="1"/>
        <v/>
      </c>
      <c r="O21" s="37" t="str">
        <f t="shared" si="2"/>
        <v>승</v>
      </c>
      <c r="P21" s="38" t="str">
        <f>P32</f>
        <v>레알</v>
      </c>
      <c r="Q21" s="15">
        <v>3</v>
      </c>
      <c r="R21" s="39">
        <v>1</v>
      </c>
      <c r="S21" s="38" t="str">
        <f>P34</f>
        <v>맨유</v>
      </c>
      <c r="T21" s="15" t="str">
        <f t="shared" si="3"/>
        <v>패</v>
      </c>
      <c r="Z21" s="37" t="str">
        <f t="shared" si="4"/>
        <v/>
      </c>
      <c r="AA21" s="38" t="str">
        <f>AA32</f>
        <v>토트넘</v>
      </c>
      <c r="AB21" s="15"/>
      <c r="AC21" s="39"/>
      <c r="AD21" s="38" t="str">
        <f>AA34</f>
        <v>ATM</v>
      </c>
      <c r="AE21" s="15" t="str">
        <f t="shared" si="5"/>
        <v/>
      </c>
      <c r="AK21" s="37" t="str">
        <f t="shared" si="6"/>
        <v>패</v>
      </c>
      <c r="AL21" s="38" t="str">
        <f>AL26</f>
        <v>뮌헨</v>
      </c>
      <c r="AM21" s="15">
        <v>1</v>
      </c>
      <c r="AN21" s="39">
        <v>2</v>
      </c>
      <c r="AO21" s="38" t="str">
        <f>AL28</f>
        <v>돌문</v>
      </c>
      <c r="AP21" s="15" t="str">
        <f t="shared" si="7"/>
        <v>승</v>
      </c>
    </row>
    <row r="22" spans="4:42" ht="21.95" customHeight="1" thickBot="1" x14ac:dyDescent="0.35">
      <c r="D22" s="34" t="str">
        <f t="shared" si="0"/>
        <v/>
      </c>
      <c r="E22" s="12" t="str">
        <f>E32</f>
        <v>나폴리</v>
      </c>
      <c r="F22" s="16"/>
      <c r="G22" s="40"/>
      <c r="H22" s="12" t="str">
        <f>E34</f>
        <v>레버쿠젠</v>
      </c>
      <c r="I22" s="16" t="str">
        <f t="shared" si="1"/>
        <v/>
      </c>
      <c r="O22" s="34" t="str">
        <f t="shared" si="2"/>
        <v>패</v>
      </c>
      <c r="P22" s="12" t="str">
        <f>P32</f>
        <v>레알</v>
      </c>
      <c r="Q22" s="16">
        <v>1</v>
      </c>
      <c r="R22" s="40">
        <v>2</v>
      </c>
      <c r="S22" s="12" t="str">
        <f>P34</f>
        <v>맨유</v>
      </c>
      <c r="T22" s="16" t="str">
        <f t="shared" si="3"/>
        <v>승</v>
      </c>
      <c r="Z22" s="34" t="str">
        <f t="shared" si="4"/>
        <v/>
      </c>
      <c r="AA22" s="12" t="str">
        <f>AA32</f>
        <v>토트넘</v>
      </c>
      <c r="AB22" s="16"/>
      <c r="AC22" s="40"/>
      <c r="AD22" s="12" t="str">
        <f>AA34</f>
        <v>ATM</v>
      </c>
      <c r="AE22" s="16" t="str">
        <f t="shared" si="5"/>
        <v/>
      </c>
      <c r="AK22" s="34" t="str">
        <f t="shared" si="6"/>
        <v>승</v>
      </c>
      <c r="AL22" s="12" t="str">
        <f>AL26</f>
        <v>뮌헨</v>
      </c>
      <c r="AM22" s="16">
        <v>6</v>
      </c>
      <c r="AN22" s="40">
        <v>2</v>
      </c>
      <c r="AO22" s="12" t="str">
        <f>AL28</f>
        <v>돌문</v>
      </c>
      <c r="AP22" s="16" t="str">
        <f t="shared" si="7"/>
        <v>패</v>
      </c>
    </row>
    <row r="23" spans="4:42" ht="21.95" customHeight="1" x14ac:dyDescent="0.3">
      <c r="D23" s="30" t="str">
        <f t="shared" si="0"/>
        <v/>
      </c>
      <c r="E23" s="10" t="str">
        <f>E32</f>
        <v>나폴리</v>
      </c>
      <c r="F23" s="31"/>
      <c r="G23" s="20"/>
      <c r="H23" s="10" t="str">
        <f>E35</f>
        <v>인테르</v>
      </c>
      <c r="I23" s="21" t="str">
        <f t="shared" si="1"/>
        <v/>
      </c>
      <c r="O23" s="30" t="str">
        <f t="shared" si="2"/>
        <v/>
      </c>
      <c r="P23" s="10" t="str">
        <f>P32</f>
        <v>레알</v>
      </c>
      <c r="Q23" s="31"/>
      <c r="R23" s="20"/>
      <c r="S23" s="10" t="str">
        <f>P35</f>
        <v>PSV</v>
      </c>
      <c r="T23" s="21" t="str">
        <f t="shared" si="3"/>
        <v/>
      </c>
      <c r="Z23" s="30" t="str">
        <f t="shared" si="4"/>
        <v/>
      </c>
      <c r="AA23" s="10" t="str">
        <f>AA32</f>
        <v>토트넘</v>
      </c>
      <c r="AB23" s="31"/>
      <c r="AC23" s="20"/>
      <c r="AD23" s="10" t="str">
        <f>AA35</f>
        <v>볼프스</v>
      </c>
      <c r="AE23" s="21" t="str">
        <f t="shared" si="5"/>
        <v/>
      </c>
      <c r="AK23" s="30" t="str">
        <f t="shared" si="6"/>
        <v/>
      </c>
      <c r="AL23" s="10" t="str">
        <f>AL27</f>
        <v>첼시</v>
      </c>
      <c r="AM23" s="31"/>
      <c r="AN23" s="20"/>
      <c r="AO23" s="10" t="str">
        <f>AL28</f>
        <v>돌문</v>
      </c>
      <c r="AP23" s="21" t="str">
        <f t="shared" si="7"/>
        <v/>
      </c>
    </row>
    <row r="24" spans="4:42" ht="21.95" customHeight="1" thickBot="1" x14ac:dyDescent="0.35">
      <c r="D24" s="35" t="str">
        <f t="shared" si="0"/>
        <v/>
      </c>
      <c r="E24" s="25" t="str">
        <f>E32</f>
        <v>나폴리</v>
      </c>
      <c r="F24" s="36"/>
      <c r="G24" s="24"/>
      <c r="H24" s="25" t="str">
        <f>E35</f>
        <v>인테르</v>
      </c>
      <c r="I24" s="26" t="str">
        <f t="shared" si="1"/>
        <v/>
      </c>
      <c r="O24" s="35" t="str">
        <f t="shared" si="2"/>
        <v/>
      </c>
      <c r="P24" s="25" t="str">
        <f>P32</f>
        <v>레알</v>
      </c>
      <c r="Q24" s="36"/>
      <c r="R24" s="24"/>
      <c r="S24" s="25" t="str">
        <f>P35</f>
        <v>PSV</v>
      </c>
      <c r="T24" s="26" t="str">
        <f t="shared" si="3"/>
        <v/>
      </c>
      <c r="Z24" s="35" t="str">
        <f t="shared" si="4"/>
        <v/>
      </c>
      <c r="AA24" s="25" t="str">
        <f>AA32</f>
        <v>토트넘</v>
      </c>
      <c r="AB24" s="36"/>
      <c r="AC24" s="24"/>
      <c r="AD24" s="25" t="str">
        <f>AA35</f>
        <v>볼프스</v>
      </c>
      <c r="AE24" s="26" t="str">
        <f t="shared" si="5"/>
        <v/>
      </c>
      <c r="AK24" s="32" t="str">
        <f>IF(AM24="","",IF(AM24&gt;AN24,"승",IF(AM24=AN24,"무",IF(AM24&lt;AN24,"패",""))))</f>
        <v/>
      </c>
      <c r="AL24" s="11" t="str">
        <f>AL27</f>
        <v>첼시</v>
      </c>
      <c r="AM24" s="33"/>
      <c r="AN24" s="22"/>
      <c r="AO24" s="11" t="str">
        <f>AL28</f>
        <v>돌문</v>
      </c>
      <c r="AP24" s="23" t="str">
        <f>IF(AK24="","",IF(AK24="무","무",IF(AK24="승","패","승")))</f>
        <v/>
      </c>
    </row>
    <row r="25" spans="4:42" ht="21.95" customHeight="1" x14ac:dyDescent="0.3">
      <c r="D25" s="37" t="str">
        <f t="shared" si="0"/>
        <v>승</v>
      </c>
      <c r="E25" s="38" t="str">
        <f>E33</f>
        <v>뉴캐슬</v>
      </c>
      <c r="F25" s="15">
        <v>2</v>
      </c>
      <c r="G25" s="39">
        <v>1</v>
      </c>
      <c r="H25" s="38" t="str">
        <f>E34</f>
        <v>레버쿠젠</v>
      </c>
      <c r="I25" s="15" t="str">
        <f t="shared" si="1"/>
        <v>패</v>
      </c>
      <c r="O25" s="37" t="str">
        <f t="shared" si="2"/>
        <v>승</v>
      </c>
      <c r="P25" s="38" t="str">
        <f>P33</f>
        <v>마인츠</v>
      </c>
      <c r="Q25" s="15">
        <v>2</v>
      </c>
      <c r="R25" s="39">
        <v>1</v>
      </c>
      <c r="S25" s="38" t="str">
        <f>P34</f>
        <v>맨유</v>
      </c>
      <c r="T25" s="15" t="str">
        <f t="shared" si="3"/>
        <v>패</v>
      </c>
      <c r="Z25" s="37" t="str">
        <f t="shared" si="4"/>
        <v/>
      </c>
      <c r="AA25" s="38" t="str">
        <f>AA33</f>
        <v>파리</v>
      </c>
      <c r="AB25" s="15"/>
      <c r="AC25" s="39"/>
      <c r="AD25" s="38" t="str">
        <f>AA34</f>
        <v>ATM</v>
      </c>
      <c r="AE25" s="15" t="str">
        <f t="shared" si="5"/>
        <v/>
      </c>
    </row>
    <row r="26" spans="4:42" ht="21.95" customHeight="1" thickBot="1" x14ac:dyDescent="0.35">
      <c r="D26" s="34" t="str">
        <f>IF(F26="","",IF(F26&gt;G26,"승",IF(F26=G26,"무",IF(F26&lt;G26,"패",""))))</f>
        <v>패</v>
      </c>
      <c r="E26" s="12" t="str">
        <f>E33</f>
        <v>뉴캐슬</v>
      </c>
      <c r="F26" s="16">
        <v>1</v>
      </c>
      <c r="G26" s="40">
        <v>2</v>
      </c>
      <c r="H26" s="12" t="str">
        <f>E34</f>
        <v>레버쿠젠</v>
      </c>
      <c r="I26" s="16" t="str">
        <f>IF(D26="","",IF(D26="무","무",IF(D26="승","패","승")))</f>
        <v>승</v>
      </c>
      <c r="O26" s="34" t="str">
        <f>IF(Q26="","",IF(Q26&gt;R26,"승",IF(Q26=R26,"무",IF(Q26&lt;R26,"패",""))))</f>
        <v>승</v>
      </c>
      <c r="P26" s="12" t="str">
        <f>P33</f>
        <v>마인츠</v>
      </c>
      <c r="Q26" s="16">
        <v>2</v>
      </c>
      <c r="R26" s="40">
        <v>1</v>
      </c>
      <c r="S26" s="12" t="str">
        <f>P34</f>
        <v>맨유</v>
      </c>
      <c r="T26" s="16" t="str">
        <f>IF(O26="","",IF(O26="무","무",IF(O26="승","패","승")))</f>
        <v>패</v>
      </c>
      <c r="Z26" s="34" t="str">
        <f>IF(AB26="","",IF(AB26&gt;AC26,"승",IF(AB26=AC26,"무",IF(AB26&lt;AC26,"패",""))))</f>
        <v/>
      </c>
      <c r="AA26" s="12" t="str">
        <f>AA33</f>
        <v>파리</v>
      </c>
      <c r="AB26" s="16"/>
      <c r="AC26" s="40"/>
      <c r="AD26" s="12" t="str">
        <f>AA34</f>
        <v>ATM</v>
      </c>
      <c r="AE26" s="16" t="str">
        <f>IF(Z26="","",IF(Z26="무","무",IF(Z26="승","패","승")))</f>
        <v/>
      </c>
      <c r="AL26" t="s">
        <v>68</v>
      </c>
      <c r="AM26">
        <f>COUNTIF(AL$19:AO$25,AL26)</f>
        <v>4</v>
      </c>
    </row>
    <row r="27" spans="4:42" ht="21.95" customHeight="1" x14ac:dyDescent="0.3">
      <c r="D27" s="37" t="str">
        <f>IF(F27="","",IF(F27&gt;G27,"승",IF(F27=G27,"무",IF(F27&lt;G27,"패",""))))</f>
        <v/>
      </c>
      <c r="E27" s="38" t="str">
        <f>E33</f>
        <v>뉴캐슬</v>
      </c>
      <c r="F27" s="15"/>
      <c r="G27" s="39"/>
      <c r="H27" s="38" t="str">
        <f>E35</f>
        <v>인테르</v>
      </c>
      <c r="I27" s="15" t="str">
        <f>IF(D27="","",IF(D27="무","무",IF(D27="승","패","승")))</f>
        <v/>
      </c>
      <c r="O27" s="37" t="str">
        <f>IF(Q27="","",IF(Q27&gt;R27,"승",IF(Q27=R27,"무",IF(Q27&lt;R27,"패",""))))</f>
        <v/>
      </c>
      <c r="P27" s="38" t="str">
        <f>P33</f>
        <v>마인츠</v>
      </c>
      <c r="Q27" s="15"/>
      <c r="R27" s="39"/>
      <c r="S27" s="38" t="str">
        <f>P35</f>
        <v>PSV</v>
      </c>
      <c r="T27" s="15" t="str">
        <f>IF(O27="","",IF(O27="무","무",IF(O27="승","패","승")))</f>
        <v/>
      </c>
      <c r="Z27" s="37" t="str">
        <f>IF(AB27="","",IF(AB27&gt;AC27,"승",IF(AB27=AC27,"무",IF(AB27&lt;AC27,"패",""))))</f>
        <v/>
      </c>
      <c r="AA27" s="38" t="str">
        <f>AA33</f>
        <v>파리</v>
      </c>
      <c r="AB27" s="15"/>
      <c r="AC27" s="39"/>
      <c r="AD27" s="38" t="str">
        <f>AA35</f>
        <v>볼프스</v>
      </c>
      <c r="AE27" s="15" t="str">
        <f>IF(Z27="","",IF(Z27="무","무",IF(Z27="승","패","승")))</f>
        <v/>
      </c>
      <c r="AL27" t="s">
        <v>67</v>
      </c>
      <c r="AM27">
        <f>COUNTIF(AL$19:AO$25,AL27)</f>
        <v>4</v>
      </c>
    </row>
    <row r="28" spans="4:42" ht="21.95" customHeight="1" thickBot="1" x14ac:dyDescent="0.35">
      <c r="D28" s="34" t="str">
        <f>IF(F28="","",IF(F28&gt;G28,"승",IF(F28=G28,"무",IF(F28&lt;G28,"패",""))))</f>
        <v/>
      </c>
      <c r="E28" s="12" t="str">
        <f>E33</f>
        <v>뉴캐슬</v>
      </c>
      <c r="F28" s="16"/>
      <c r="G28" s="40"/>
      <c r="H28" s="12" t="str">
        <f>E35</f>
        <v>인테르</v>
      </c>
      <c r="I28" s="16" t="str">
        <f>IF(D28="","",IF(D28="무","무",IF(D28="승","패","승")))</f>
        <v/>
      </c>
      <c r="O28" s="34" t="str">
        <f>IF(Q28="","",IF(Q28&gt;R28,"승",IF(Q28=R28,"무",IF(Q28&lt;R28,"패",""))))</f>
        <v/>
      </c>
      <c r="P28" s="12" t="str">
        <f>P33</f>
        <v>마인츠</v>
      </c>
      <c r="Q28" s="16"/>
      <c r="R28" s="40"/>
      <c r="S28" s="12" t="str">
        <f>P35</f>
        <v>PSV</v>
      </c>
      <c r="T28" s="16" t="str">
        <f>IF(O28="","",IF(O28="무","무",IF(O28="승","패","승")))</f>
        <v/>
      </c>
      <c r="Z28" s="34" t="str">
        <f>IF(AB28="","",IF(AB28&gt;AC28,"승",IF(AB28=AC28,"무",IF(AB28&lt;AC28,"패",""))))</f>
        <v/>
      </c>
      <c r="AA28" s="12" t="str">
        <f>AA33</f>
        <v>파리</v>
      </c>
      <c r="AB28" s="16"/>
      <c r="AC28" s="40"/>
      <c r="AD28" s="12" t="str">
        <f>AA35</f>
        <v>볼프스</v>
      </c>
      <c r="AE28" s="16" t="str">
        <f>IF(Z28="","",IF(Z28="무","무",IF(Z28="승","패","승")))</f>
        <v/>
      </c>
      <c r="AL28" t="s">
        <v>81</v>
      </c>
      <c r="AM28">
        <f>COUNTIF(AL$19:AO$25,AL28)</f>
        <v>4</v>
      </c>
    </row>
    <row r="29" spans="4:42" ht="21.95" customHeight="1" x14ac:dyDescent="0.3">
      <c r="D29" s="30" t="str">
        <f>IF(F29="","",IF(F29&gt;G29,"승",IF(F29=G29,"무",IF(F29&lt;G29,"패",""))))</f>
        <v>승</v>
      </c>
      <c r="E29" s="10" t="str">
        <f>E34</f>
        <v>레버쿠젠</v>
      </c>
      <c r="F29" s="31">
        <v>5</v>
      </c>
      <c r="G29" s="20">
        <v>0</v>
      </c>
      <c r="H29" s="10" t="str">
        <f>E35</f>
        <v>인테르</v>
      </c>
      <c r="I29" s="21" t="str">
        <f>IF(D29="","",IF(D29="무","무",IF(D29="승","패","승")))</f>
        <v>패</v>
      </c>
      <c r="O29" s="30" t="str">
        <f>IF(Q29="","",IF(Q29&gt;R29,"승",IF(Q29=R29,"무",IF(Q29&lt;R29,"패",""))))</f>
        <v/>
      </c>
      <c r="P29" s="10" t="str">
        <f>P34</f>
        <v>맨유</v>
      </c>
      <c r="Q29" s="31"/>
      <c r="R29" s="20"/>
      <c r="S29" s="10" t="str">
        <f>P35</f>
        <v>PSV</v>
      </c>
      <c r="T29" s="21" t="str">
        <f>IF(O29="","",IF(O29="무","무",IF(O29="승","패","승")))</f>
        <v/>
      </c>
      <c r="Z29" s="30" t="str">
        <f>IF(AB29="","",IF(AB29&gt;AC29,"승",IF(AB29=AC29,"무",IF(AB29&lt;AC29,"패",""))))</f>
        <v>승</v>
      </c>
      <c r="AA29" s="10" t="str">
        <f>AA34</f>
        <v>ATM</v>
      </c>
      <c r="AB29" s="31">
        <v>3</v>
      </c>
      <c r="AC29" s="20">
        <v>0</v>
      </c>
      <c r="AD29" s="10" t="str">
        <f>AA35</f>
        <v>볼프스</v>
      </c>
      <c r="AE29" s="21" t="str">
        <f>IF(Z29="","",IF(Z29="무","무",IF(Z29="승","패","승")))</f>
        <v>패</v>
      </c>
      <c r="AM29">
        <f>COUNTIF(AL$19:AO$25,AL29)</f>
        <v>0</v>
      </c>
    </row>
    <row r="30" spans="4:42" ht="21.95" customHeight="1" x14ac:dyDescent="0.3">
      <c r="D30" s="32" t="str">
        <f>IF(F30="","",IF(F30&gt;G30,"승",IF(F30=G30,"무",IF(F30&lt;G30,"패",""))))</f>
        <v>승</v>
      </c>
      <c r="E30" s="11" t="str">
        <f>E34</f>
        <v>레버쿠젠</v>
      </c>
      <c r="F30" s="33">
        <v>3</v>
      </c>
      <c r="G30" s="22">
        <v>2</v>
      </c>
      <c r="H30" s="11" t="str">
        <f>E35</f>
        <v>인테르</v>
      </c>
      <c r="I30" s="23" t="str">
        <f>IF(D30="","",IF(D30="무","무",IF(D30="승","패","승")))</f>
        <v>패</v>
      </c>
      <c r="O30" s="32" t="str">
        <f>IF(Q30="","",IF(Q30&gt;R30,"승",IF(Q30=R30,"무",IF(Q30&lt;R30,"패",""))))</f>
        <v/>
      </c>
      <c r="P30" s="11" t="str">
        <f>P34</f>
        <v>맨유</v>
      </c>
      <c r="Q30" s="33"/>
      <c r="R30" s="22"/>
      <c r="S30" s="11" t="str">
        <f>P35</f>
        <v>PSV</v>
      </c>
      <c r="T30" s="23" t="str">
        <f>IF(O30="","",IF(O30="무","무",IF(O30="승","패","승")))</f>
        <v/>
      </c>
      <c r="Z30" s="32" t="str">
        <f>IF(AB30="","",IF(AB30&gt;AC30,"승",IF(AB30=AC30,"무",IF(AB30&lt;AC30,"패",""))))</f>
        <v>승</v>
      </c>
      <c r="AA30" s="11" t="str">
        <f>AA34</f>
        <v>ATM</v>
      </c>
      <c r="AB30" s="33">
        <v>4</v>
      </c>
      <c r="AC30" s="22">
        <v>0</v>
      </c>
      <c r="AD30" s="11" t="str">
        <f>AA35</f>
        <v>볼프스</v>
      </c>
      <c r="AE30" s="23" t="str">
        <f>IF(Z30="","",IF(Z30="무","무",IF(Z30="승","패","승")))</f>
        <v>패</v>
      </c>
    </row>
    <row r="31" spans="4:42" ht="21.95" customHeight="1" x14ac:dyDescent="0.3"/>
    <row r="32" spans="4:42" ht="21.95" customHeight="1" x14ac:dyDescent="0.3">
      <c r="E32" t="s">
        <v>70</v>
      </c>
      <c r="F32">
        <f>COUNTIF(E$19:H$31,E32)</f>
        <v>6</v>
      </c>
      <c r="P32" t="s">
        <v>78</v>
      </c>
      <c r="Q32">
        <f>COUNTIF(P$19:S$31,P32)</f>
        <v>6</v>
      </c>
      <c r="AA32" t="s">
        <v>66</v>
      </c>
      <c r="AB32">
        <f>COUNTIF(AA$19:AD$31,AA32)</f>
        <v>6</v>
      </c>
    </row>
    <row r="33" spans="5:28" ht="21.95" customHeight="1" x14ac:dyDescent="0.3">
      <c r="E33" t="s">
        <v>73</v>
      </c>
      <c r="F33">
        <f>COUNTIF(E$19:H$31,E33)</f>
        <v>6</v>
      </c>
      <c r="P33" t="s">
        <v>47</v>
      </c>
      <c r="Q33">
        <f>COUNTIF(P$19:S$31,P33)</f>
        <v>6</v>
      </c>
      <c r="AA33" t="s">
        <v>35</v>
      </c>
      <c r="AB33">
        <f>COUNTIF(AA$19:AD$31,AA33)</f>
        <v>6</v>
      </c>
    </row>
    <row r="34" spans="5:28" ht="21.95" customHeight="1" x14ac:dyDescent="0.3">
      <c r="E34" t="s">
        <v>69</v>
      </c>
      <c r="F34">
        <f>COUNTIF(E$19:H$31,E34)</f>
        <v>6</v>
      </c>
      <c r="P34" t="s">
        <v>79</v>
      </c>
      <c r="Q34">
        <f>COUNTIF(P$19:S$31,P34)</f>
        <v>6</v>
      </c>
      <c r="AA34" t="s">
        <v>72</v>
      </c>
      <c r="AB34">
        <f>COUNTIF(AA$19:AD$31,AA34)</f>
        <v>6</v>
      </c>
    </row>
    <row r="35" spans="5:28" ht="21.95" customHeight="1" x14ac:dyDescent="0.3">
      <c r="E35" t="s">
        <v>46</v>
      </c>
      <c r="F35">
        <f>COUNTIF(E$19:H$31,E35)</f>
        <v>6</v>
      </c>
      <c r="P35" t="s">
        <v>71</v>
      </c>
      <c r="Q35">
        <f>COUNTIF(P$19:S$31,P35)</f>
        <v>6</v>
      </c>
      <c r="AA35" t="s">
        <v>80</v>
      </c>
      <c r="AB35">
        <f>COUNTIF(AA$19:AD$31,AA35)</f>
        <v>6</v>
      </c>
    </row>
    <row r="36" spans="5:28" ht="21.95" customHeight="1" x14ac:dyDescent="0.3"/>
    <row r="37" spans="5:28" ht="21.95" customHeight="1" x14ac:dyDescent="0.3"/>
    <row r="38" spans="5:28" ht="21.95" customHeight="1" x14ac:dyDescent="0.3"/>
    <row r="39" spans="5:28" ht="21.95" customHeight="1" x14ac:dyDescent="0.3"/>
    <row r="40" spans="5:28" ht="21.95" customHeight="1" x14ac:dyDescent="0.3"/>
    <row r="41" spans="5:28" ht="21.95" customHeight="1" x14ac:dyDescent="0.3"/>
    <row r="42" spans="5:28" ht="21.95" customHeight="1" x14ac:dyDescent="0.3"/>
    <row r="43" spans="5:28" ht="21.95" customHeight="1" x14ac:dyDescent="0.3"/>
    <row r="44" spans="5:28" ht="21.95" customHeight="1" x14ac:dyDescent="0.3"/>
    <row r="45" spans="5:28" ht="21.95" customHeight="1" x14ac:dyDescent="0.3"/>
    <row r="46" spans="5:28" ht="21.95" customHeight="1" x14ac:dyDescent="0.3"/>
    <row r="47" spans="5:28" ht="21.95" customHeight="1" x14ac:dyDescent="0.3"/>
    <row r="48" spans="5:2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  <row r="56" ht="21.95" customHeight="1" x14ac:dyDescent="0.3"/>
    <row r="57" ht="21.95" customHeight="1" x14ac:dyDescent="0.3"/>
    <row r="58" ht="21.95" customHeight="1" x14ac:dyDescent="0.3"/>
    <row r="59" ht="21.95" customHeight="1" x14ac:dyDescent="0.3"/>
    <row r="60" ht="21.95" customHeight="1" x14ac:dyDescent="0.3"/>
    <row r="61" ht="21.95" customHeight="1" x14ac:dyDescent="0.3"/>
    <row r="62" ht="21.95" customHeight="1" x14ac:dyDescent="0.3"/>
    <row r="63" ht="21.95" customHeight="1" x14ac:dyDescent="0.3"/>
    <row r="64" ht="21.95" customHeight="1" x14ac:dyDescent="0.3"/>
    <row r="65" ht="21.95" customHeight="1" x14ac:dyDescent="0.3"/>
    <row r="66" ht="21.95" customHeight="1" x14ac:dyDescent="0.3"/>
    <row r="67" ht="21.95" customHeight="1" x14ac:dyDescent="0.3"/>
    <row r="68" ht="21.95" customHeight="1" x14ac:dyDescent="0.3"/>
    <row r="69" ht="21.95" customHeight="1" x14ac:dyDescent="0.3"/>
    <row r="70" ht="21.95" customHeight="1" x14ac:dyDescent="0.3"/>
    <row r="71" ht="21.95" customHeight="1" x14ac:dyDescent="0.3"/>
    <row r="72" ht="21.95" customHeight="1" x14ac:dyDescent="0.3"/>
    <row r="73" ht="21.95" customHeight="1" x14ac:dyDescent="0.3"/>
    <row r="74" ht="21.95" customHeight="1" x14ac:dyDescent="0.3"/>
    <row r="75" ht="21.95" customHeight="1" x14ac:dyDescent="0.3"/>
    <row r="76" ht="21.95" customHeight="1" x14ac:dyDescent="0.3"/>
    <row r="77" ht="21.95" customHeight="1" x14ac:dyDescent="0.3"/>
    <row r="78" ht="21.95" customHeight="1" x14ac:dyDescent="0.3"/>
    <row r="79" ht="21.95" customHeight="1" x14ac:dyDescent="0.3"/>
    <row r="80" ht="21.95" customHeight="1" x14ac:dyDescent="0.3"/>
    <row r="81" ht="21.95" customHeight="1" x14ac:dyDescent="0.3"/>
    <row r="82" ht="21.95" customHeight="1" x14ac:dyDescent="0.3"/>
    <row r="83" ht="21.95" customHeight="1" x14ac:dyDescent="0.3"/>
    <row r="84" ht="21.95" customHeight="1" x14ac:dyDescent="0.3"/>
    <row r="85" ht="21.95" customHeight="1" x14ac:dyDescent="0.3"/>
    <row r="86" ht="21.95" customHeight="1" x14ac:dyDescent="0.3"/>
    <row r="87" ht="21.95" customHeight="1" x14ac:dyDescent="0.3"/>
    <row r="88" ht="21.95" customHeight="1" x14ac:dyDescent="0.3"/>
    <row r="89" ht="21.95" customHeight="1" x14ac:dyDescent="0.3"/>
    <row r="90" ht="21.95" customHeight="1" x14ac:dyDescent="0.3"/>
    <row r="91" ht="21.95" customHeight="1" x14ac:dyDescent="0.3"/>
    <row r="92" ht="21.95" customHeight="1" x14ac:dyDescent="0.3"/>
    <row r="93" ht="21.95" customHeight="1" x14ac:dyDescent="0.3"/>
    <row r="94" ht="21.95" customHeight="1" x14ac:dyDescent="0.3"/>
    <row r="95" ht="21.95" customHeight="1" x14ac:dyDescent="0.3"/>
    <row r="96" ht="21.95" customHeight="1" x14ac:dyDescent="0.3"/>
    <row r="97" ht="21.95" customHeight="1" x14ac:dyDescent="0.3"/>
    <row r="98" ht="21.95" customHeight="1" x14ac:dyDescent="0.3"/>
    <row r="99" ht="21.95" customHeight="1" x14ac:dyDescent="0.3"/>
    <row r="100" ht="21.95" customHeight="1" x14ac:dyDescent="0.3"/>
    <row r="101" ht="21.95" customHeight="1" x14ac:dyDescent="0.3"/>
    <row r="102" ht="21.95" customHeight="1" x14ac:dyDescent="0.3"/>
    <row r="103" ht="21.95" customHeight="1" x14ac:dyDescent="0.3"/>
    <row r="104" ht="21.95" customHeight="1" x14ac:dyDescent="0.3"/>
    <row r="105" ht="21.95" customHeight="1" x14ac:dyDescent="0.3"/>
    <row r="106" ht="21.95" customHeight="1" x14ac:dyDescent="0.3"/>
    <row r="107" ht="21.95" customHeight="1" x14ac:dyDescent="0.3"/>
    <row r="108" ht="21.95" customHeight="1" x14ac:dyDescent="0.3"/>
    <row r="109" ht="21.95" customHeight="1" x14ac:dyDescent="0.3"/>
    <row r="110" ht="21.95" customHeight="1" x14ac:dyDescent="0.3"/>
    <row r="111" ht="21.95" customHeight="1" x14ac:dyDescent="0.3"/>
    <row r="112" ht="21.95" customHeight="1" x14ac:dyDescent="0.3"/>
    <row r="113" ht="21.95" customHeight="1" x14ac:dyDescent="0.3"/>
    <row r="114" ht="21.95" customHeight="1" x14ac:dyDescent="0.3"/>
    <row r="115" ht="21.95" customHeight="1" x14ac:dyDescent="0.3"/>
    <row r="116" ht="21.95" customHeight="1" x14ac:dyDescent="0.3"/>
    <row r="117" ht="21.95" customHeight="1" x14ac:dyDescent="0.3"/>
    <row r="118" ht="21.95" customHeight="1" x14ac:dyDescent="0.3"/>
    <row r="119" ht="21.95" customHeight="1" x14ac:dyDescent="0.3"/>
    <row r="120" ht="21.95" customHeight="1" x14ac:dyDescent="0.3"/>
    <row r="121" ht="21.95" customHeight="1" x14ac:dyDescent="0.3"/>
  </sheetData>
  <mergeCells count="4">
    <mergeCell ref="B2:K2"/>
    <mergeCell ref="M2:V2"/>
    <mergeCell ref="X2:AG2"/>
    <mergeCell ref="AI2:AR2"/>
  </mergeCells>
  <phoneticPr fontId="7" type="noConversion"/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8929-1237-42A7-ACDC-32F5882EAA70}">
  <dimension ref="B2:Q111"/>
  <sheetViews>
    <sheetView zoomScale="115" zoomScaleNormal="115" workbookViewId="0">
      <selection activeCell="P21" sqref="P21"/>
    </sheetView>
  </sheetViews>
  <sheetFormatPr defaultRowHeight="20" customHeight="1" x14ac:dyDescent="0.3"/>
  <sheetData>
    <row r="2" spans="2:17" ht="24.95" customHeight="1" x14ac:dyDescent="0.3">
      <c r="B2" s="1" t="str">
        <f t="shared" ref="B2:B30" si="0">IF(D2&gt;E2,"승",IF(D2=E2,"무","패"))</f>
        <v>승</v>
      </c>
      <c r="C2" t="s">
        <v>38</v>
      </c>
      <c r="D2">
        <v>1</v>
      </c>
      <c r="E2">
        <v>0</v>
      </c>
      <c r="F2" t="s">
        <v>97</v>
      </c>
      <c r="G2" t="str">
        <f t="shared" ref="G2:G30" si="1">IF(D2&lt;E2,"승",IF(D2=E2,"무","패"))</f>
        <v>패</v>
      </c>
    </row>
    <row r="3" spans="2:17" ht="24.95" customHeight="1" x14ac:dyDescent="0.3">
      <c r="B3" s="1" t="str">
        <f t="shared" si="0"/>
        <v>승</v>
      </c>
      <c r="C3" t="s">
        <v>97</v>
      </c>
      <c r="D3">
        <v>1</v>
      </c>
      <c r="E3">
        <v>0</v>
      </c>
      <c r="F3" t="s">
        <v>38</v>
      </c>
      <c r="G3" t="str">
        <f t="shared" si="1"/>
        <v>패</v>
      </c>
    </row>
    <row r="4" spans="2:17" ht="24.95" customHeight="1" x14ac:dyDescent="0.3">
      <c r="B4" s="1" t="str">
        <f t="shared" si="0"/>
        <v>패</v>
      </c>
      <c r="C4" t="s">
        <v>36</v>
      </c>
      <c r="D4">
        <v>2</v>
      </c>
      <c r="E4">
        <v>4</v>
      </c>
      <c r="F4" t="s">
        <v>96</v>
      </c>
      <c r="G4" t="str">
        <f t="shared" si="1"/>
        <v>승</v>
      </c>
      <c r="J4" s="1" t="s">
        <v>20</v>
      </c>
      <c r="K4" s="1" t="s">
        <v>98</v>
      </c>
      <c r="L4" s="1" t="s">
        <v>99</v>
      </c>
      <c r="M4" s="1" t="s">
        <v>17</v>
      </c>
      <c r="N4" s="1" t="s">
        <v>15</v>
      </c>
      <c r="O4" s="1" t="s">
        <v>32</v>
      </c>
      <c r="P4" s="1" t="s">
        <v>55</v>
      </c>
      <c r="Q4" s="1" t="s">
        <v>57</v>
      </c>
    </row>
    <row r="5" spans="2:17" ht="24.95" customHeight="1" x14ac:dyDescent="0.3">
      <c r="B5" s="1" t="str">
        <f t="shared" si="0"/>
        <v>승</v>
      </c>
      <c r="C5" t="s">
        <v>96</v>
      </c>
      <c r="D5">
        <v>3</v>
      </c>
      <c r="E5">
        <v>2</v>
      </c>
      <c r="F5" t="s">
        <v>36</v>
      </c>
      <c r="G5" t="str">
        <f t="shared" si="1"/>
        <v>패</v>
      </c>
      <c r="J5" s="1" t="s">
        <v>38</v>
      </c>
      <c r="K5" s="1">
        <f>M5*3+N5</f>
        <v>16</v>
      </c>
      <c r="L5" s="1">
        <f t="shared" ref="L5:L10" si="2">COUNTIF(C:C,J5)</f>
        <v>10</v>
      </c>
      <c r="M5" s="1">
        <f>COUNTIFS($C:$C,$J5,$B:$B,M$4)+COUNTIFS($F:$F,$J5,$G:$G,M$4)</f>
        <v>5</v>
      </c>
      <c r="N5" s="1">
        <f t="shared" ref="N5:O5" si="3">COUNTIFS($C:$C,$J5,$B:$B,N$4)+COUNTIFS($F:$F,$J5,$G:$G,N$4)</f>
        <v>1</v>
      </c>
      <c r="O5" s="1">
        <f t="shared" si="3"/>
        <v>4</v>
      </c>
      <c r="P5">
        <f>SUMIFS($D:$D,$C:$C,$J5)+SUMIFS($E:$E,$F:$F,$J5)</f>
        <v>25</v>
      </c>
      <c r="Q5">
        <f>SUMIFS($E:$E,$C:$C,$J5)+SUMIFS($D:$D,$F:$F,$J5)</f>
        <v>19</v>
      </c>
    </row>
    <row r="6" spans="2:17" ht="24.95" customHeight="1" x14ac:dyDescent="0.3">
      <c r="B6" s="1" t="str">
        <f t="shared" si="0"/>
        <v>승</v>
      </c>
      <c r="C6" t="s">
        <v>36</v>
      </c>
      <c r="D6">
        <v>2</v>
      </c>
      <c r="E6">
        <v>0</v>
      </c>
      <c r="F6" t="s">
        <v>87</v>
      </c>
      <c r="G6" t="str">
        <f t="shared" si="1"/>
        <v>패</v>
      </c>
      <c r="J6" s="1" t="s">
        <v>97</v>
      </c>
      <c r="K6" s="1">
        <f t="shared" ref="K6:K10" si="4">M6*3+N6</f>
        <v>18</v>
      </c>
      <c r="L6" s="1">
        <f t="shared" si="2"/>
        <v>10</v>
      </c>
      <c r="M6" s="1">
        <f t="shared" ref="M6:O10" si="5">COUNTIFS($C:$C,$J6,$B:$B,M$4)+COUNTIFS($F:$F,$J6,$G:$G,M$4)</f>
        <v>5</v>
      </c>
      <c r="N6" s="1">
        <f t="shared" si="5"/>
        <v>3</v>
      </c>
      <c r="O6" s="1">
        <f t="shared" si="5"/>
        <v>2</v>
      </c>
      <c r="P6">
        <f t="shared" ref="P6:P10" si="6">SUMIFS($D:$D,$C:$C,$J6)+SUMIFS($E:$E,$F:$F,$J6)</f>
        <v>21</v>
      </c>
      <c r="Q6">
        <f t="shared" ref="Q6:Q10" si="7">SUMIFS($E:$E,$C:$C,$J6)+SUMIFS($D:$D,$F:$F,$J6)</f>
        <v>16</v>
      </c>
    </row>
    <row r="7" spans="2:17" ht="24.95" customHeight="1" x14ac:dyDescent="0.3">
      <c r="B7" s="1" t="str">
        <f t="shared" si="0"/>
        <v>승</v>
      </c>
      <c r="C7" t="s">
        <v>87</v>
      </c>
      <c r="D7">
        <v>3</v>
      </c>
      <c r="E7">
        <v>1</v>
      </c>
      <c r="F7" t="s">
        <v>36</v>
      </c>
      <c r="G7" t="str">
        <f t="shared" si="1"/>
        <v>패</v>
      </c>
      <c r="J7" s="1" t="s">
        <v>36</v>
      </c>
      <c r="K7" s="1">
        <f t="shared" si="4"/>
        <v>12</v>
      </c>
      <c r="L7" s="1">
        <f t="shared" si="2"/>
        <v>10</v>
      </c>
      <c r="M7" s="1">
        <f t="shared" si="5"/>
        <v>3</v>
      </c>
      <c r="N7" s="1">
        <f t="shared" si="5"/>
        <v>3</v>
      </c>
      <c r="O7" s="1">
        <f t="shared" si="5"/>
        <v>4</v>
      </c>
      <c r="P7">
        <f t="shared" si="6"/>
        <v>18</v>
      </c>
      <c r="Q7">
        <f t="shared" si="7"/>
        <v>20</v>
      </c>
    </row>
    <row r="8" spans="2:17" ht="24.95" customHeight="1" x14ac:dyDescent="0.3">
      <c r="B8" s="1" t="str">
        <f t="shared" si="0"/>
        <v>무</v>
      </c>
      <c r="C8" t="s">
        <v>36</v>
      </c>
      <c r="D8">
        <v>2</v>
      </c>
      <c r="E8">
        <v>2</v>
      </c>
      <c r="F8" t="s">
        <v>88</v>
      </c>
      <c r="G8" t="str">
        <f t="shared" si="1"/>
        <v>무</v>
      </c>
      <c r="J8" s="1" t="s">
        <v>96</v>
      </c>
      <c r="K8" s="1">
        <f t="shared" si="4"/>
        <v>21</v>
      </c>
      <c r="L8" s="1">
        <f t="shared" si="2"/>
        <v>10</v>
      </c>
      <c r="M8" s="1">
        <f t="shared" si="5"/>
        <v>7</v>
      </c>
      <c r="N8" s="1">
        <f t="shared" si="5"/>
        <v>0</v>
      </c>
      <c r="O8" s="1">
        <f t="shared" si="5"/>
        <v>3</v>
      </c>
      <c r="P8">
        <f t="shared" si="6"/>
        <v>31</v>
      </c>
      <c r="Q8">
        <f t="shared" si="7"/>
        <v>26</v>
      </c>
    </row>
    <row r="9" spans="2:17" ht="24.95" customHeight="1" x14ac:dyDescent="0.3">
      <c r="B9" s="1" t="str">
        <f t="shared" si="0"/>
        <v>패</v>
      </c>
      <c r="C9" t="s">
        <v>88</v>
      </c>
      <c r="D9">
        <v>0</v>
      </c>
      <c r="E9">
        <v>1</v>
      </c>
      <c r="F9" t="s">
        <v>36</v>
      </c>
      <c r="G9" t="str">
        <f t="shared" si="1"/>
        <v>승</v>
      </c>
      <c r="J9" s="1" t="s">
        <v>87</v>
      </c>
      <c r="K9" s="1">
        <f t="shared" si="4"/>
        <v>6</v>
      </c>
      <c r="L9" s="1">
        <f t="shared" si="2"/>
        <v>10</v>
      </c>
      <c r="M9" s="1">
        <f t="shared" si="5"/>
        <v>2</v>
      </c>
      <c r="N9" s="1">
        <f t="shared" si="5"/>
        <v>0</v>
      </c>
      <c r="O9" s="1">
        <f t="shared" si="5"/>
        <v>8</v>
      </c>
      <c r="P9">
        <f t="shared" si="6"/>
        <v>19</v>
      </c>
      <c r="Q9">
        <f t="shared" si="7"/>
        <v>30</v>
      </c>
    </row>
    <row r="10" spans="2:17" ht="24.95" customHeight="1" x14ac:dyDescent="0.3">
      <c r="B10" s="1" t="str">
        <f t="shared" si="0"/>
        <v>패</v>
      </c>
      <c r="C10" t="s">
        <v>36</v>
      </c>
      <c r="D10">
        <v>1</v>
      </c>
      <c r="E10">
        <v>3</v>
      </c>
      <c r="F10" t="s">
        <v>97</v>
      </c>
      <c r="G10" t="str">
        <f t="shared" si="1"/>
        <v>승</v>
      </c>
      <c r="J10" s="1" t="s">
        <v>88</v>
      </c>
      <c r="K10" s="1">
        <f t="shared" si="4"/>
        <v>12</v>
      </c>
      <c r="L10" s="1">
        <f t="shared" si="2"/>
        <v>10</v>
      </c>
      <c r="M10" s="1">
        <f t="shared" si="5"/>
        <v>3</v>
      </c>
      <c r="N10" s="1">
        <f t="shared" si="5"/>
        <v>3</v>
      </c>
      <c r="O10" s="1">
        <f t="shared" si="5"/>
        <v>4</v>
      </c>
      <c r="P10">
        <f t="shared" si="6"/>
        <v>22</v>
      </c>
      <c r="Q10">
        <f t="shared" si="7"/>
        <v>25</v>
      </c>
    </row>
    <row r="11" spans="2:17" ht="24.95" customHeight="1" x14ac:dyDescent="0.3">
      <c r="B11" s="1" t="str">
        <f t="shared" si="0"/>
        <v>무</v>
      </c>
      <c r="C11" t="s">
        <v>97</v>
      </c>
      <c r="D11">
        <v>3</v>
      </c>
      <c r="E11">
        <v>3</v>
      </c>
      <c r="F11" t="s">
        <v>36</v>
      </c>
      <c r="G11" t="str">
        <f t="shared" si="1"/>
        <v>무</v>
      </c>
    </row>
    <row r="12" spans="2:17" ht="24.95" customHeight="1" x14ac:dyDescent="0.3">
      <c r="B12" s="1" t="str">
        <f t="shared" si="0"/>
        <v>무</v>
      </c>
      <c r="C12" t="s">
        <v>36</v>
      </c>
      <c r="D12">
        <v>2</v>
      </c>
      <c r="E12">
        <v>2</v>
      </c>
      <c r="F12" t="s">
        <v>38</v>
      </c>
      <c r="G12" t="str">
        <f t="shared" si="1"/>
        <v>무</v>
      </c>
    </row>
    <row r="13" spans="2:17" ht="24.95" customHeight="1" x14ac:dyDescent="0.3">
      <c r="B13" s="1" t="str">
        <f t="shared" si="0"/>
        <v>패</v>
      </c>
      <c r="C13" t="s">
        <v>38</v>
      </c>
      <c r="D13">
        <v>0</v>
      </c>
      <c r="E13">
        <v>2</v>
      </c>
      <c r="F13" t="s">
        <v>36</v>
      </c>
      <c r="G13" t="str">
        <f t="shared" si="1"/>
        <v>승</v>
      </c>
    </row>
    <row r="14" spans="2:17" ht="24.95" customHeight="1" x14ac:dyDescent="0.3">
      <c r="B14" s="1" t="str">
        <f t="shared" si="0"/>
        <v>패</v>
      </c>
      <c r="C14" t="s">
        <v>87</v>
      </c>
      <c r="D14">
        <v>3</v>
      </c>
      <c r="E14">
        <v>4</v>
      </c>
      <c r="F14" t="s">
        <v>96</v>
      </c>
      <c r="G14" t="str">
        <f t="shared" si="1"/>
        <v>승</v>
      </c>
    </row>
    <row r="15" spans="2:17" ht="24.95" customHeight="1" x14ac:dyDescent="0.3">
      <c r="B15" s="1" t="str">
        <f t="shared" si="0"/>
        <v>승</v>
      </c>
      <c r="C15" t="s">
        <v>96</v>
      </c>
      <c r="D15">
        <v>4</v>
      </c>
      <c r="E15">
        <v>3</v>
      </c>
      <c r="F15" t="s">
        <v>87</v>
      </c>
      <c r="G15" t="str">
        <f t="shared" si="1"/>
        <v>패</v>
      </c>
    </row>
    <row r="16" spans="2:17" ht="24.95" customHeight="1" x14ac:dyDescent="0.3">
      <c r="B16" s="1" t="str">
        <f t="shared" si="0"/>
        <v>패</v>
      </c>
      <c r="C16" t="s">
        <v>87</v>
      </c>
      <c r="D16">
        <v>2</v>
      </c>
      <c r="E16">
        <v>3</v>
      </c>
      <c r="F16" t="s">
        <v>88</v>
      </c>
      <c r="G16" t="str">
        <f t="shared" si="1"/>
        <v>승</v>
      </c>
    </row>
    <row r="17" spans="2:7" ht="24.95" customHeight="1" x14ac:dyDescent="0.3">
      <c r="B17" s="1" t="str">
        <f t="shared" si="0"/>
        <v>승</v>
      </c>
      <c r="C17" t="s">
        <v>88</v>
      </c>
      <c r="D17">
        <v>4</v>
      </c>
      <c r="E17">
        <v>1</v>
      </c>
      <c r="F17" t="s">
        <v>87</v>
      </c>
      <c r="G17" t="str">
        <f t="shared" si="1"/>
        <v>패</v>
      </c>
    </row>
    <row r="18" spans="2:7" ht="24.95" customHeight="1" x14ac:dyDescent="0.3">
      <c r="B18" s="1" t="str">
        <f t="shared" si="0"/>
        <v>패</v>
      </c>
      <c r="C18" t="s">
        <v>87</v>
      </c>
      <c r="D18">
        <v>1</v>
      </c>
      <c r="E18">
        <v>3</v>
      </c>
      <c r="F18" t="s">
        <v>97</v>
      </c>
      <c r="G18" t="str">
        <f t="shared" si="1"/>
        <v>승</v>
      </c>
    </row>
    <row r="19" spans="2:7" ht="24.95" customHeight="1" x14ac:dyDescent="0.3">
      <c r="B19" s="1" t="str">
        <f t="shared" si="0"/>
        <v>승</v>
      </c>
      <c r="C19" t="s">
        <v>97</v>
      </c>
      <c r="D19">
        <v>2</v>
      </c>
      <c r="E19">
        <v>1</v>
      </c>
      <c r="F19" t="s">
        <v>87</v>
      </c>
      <c r="G19" t="str">
        <f t="shared" si="1"/>
        <v>패</v>
      </c>
    </row>
    <row r="20" spans="2:7" ht="24.95" customHeight="1" x14ac:dyDescent="0.3">
      <c r="B20" s="1" t="str">
        <f t="shared" si="0"/>
        <v>승</v>
      </c>
      <c r="C20" t="s">
        <v>87</v>
      </c>
      <c r="D20">
        <v>4</v>
      </c>
      <c r="E20">
        <v>3</v>
      </c>
      <c r="F20" t="s">
        <v>38</v>
      </c>
      <c r="G20" t="str">
        <f t="shared" si="1"/>
        <v>패</v>
      </c>
    </row>
    <row r="21" spans="2:7" ht="24.95" customHeight="1" x14ac:dyDescent="0.3">
      <c r="B21" s="1" t="str">
        <f t="shared" si="0"/>
        <v>승</v>
      </c>
      <c r="C21" t="s">
        <v>38</v>
      </c>
      <c r="D21">
        <v>4</v>
      </c>
      <c r="E21">
        <v>1</v>
      </c>
      <c r="F21" t="s">
        <v>87</v>
      </c>
      <c r="G21" t="str">
        <f t="shared" si="1"/>
        <v>패</v>
      </c>
    </row>
    <row r="22" spans="2:7" ht="24.95" customHeight="1" x14ac:dyDescent="0.3">
      <c r="B22" s="1" t="str">
        <f t="shared" si="0"/>
        <v>패</v>
      </c>
      <c r="C22" t="s">
        <v>88</v>
      </c>
      <c r="D22">
        <v>0</v>
      </c>
      <c r="E22">
        <v>4</v>
      </c>
      <c r="F22" t="s">
        <v>96</v>
      </c>
      <c r="G22" t="str">
        <f t="shared" si="1"/>
        <v>승</v>
      </c>
    </row>
    <row r="23" spans="2:7" ht="24.95" customHeight="1" x14ac:dyDescent="0.3">
      <c r="B23" s="1" t="str">
        <f t="shared" si="0"/>
        <v>패</v>
      </c>
      <c r="C23" t="s">
        <v>96</v>
      </c>
      <c r="D23">
        <v>2</v>
      </c>
      <c r="E23">
        <v>5</v>
      </c>
      <c r="F23" t="s">
        <v>88</v>
      </c>
      <c r="G23" t="str">
        <f t="shared" si="1"/>
        <v>승</v>
      </c>
    </row>
    <row r="24" spans="2:7" ht="24.95" customHeight="1" x14ac:dyDescent="0.3">
      <c r="B24" s="1" t="str">
        <f t="shared" si="0"/>
        <v>무</v>
      </c>
      <c r="C24" t="s">
        <v>88</v>
      </c>
      <c r="D24">
        <v>2</v>
      </c>
      <c r="E24">
        <v>2</v>
      </c>
      <c r="F24" t="s">
        <v>97</v>
      </c>
      <c r="G24" t="str">
        <f t="shared" si="1"/>
        <v>무</v>
      </c>
    </row>
    <row r="25" spans="2:7" ht="24.95" customHeight="1" x14ac:dyDescent="0.3">
      <c r="B25" s="1" t="str">
        <f t="shared" si="0"/>
        <v>무</v>
      </c>
      <c r="C25" t="s">
        <v>97</v>
      </c>
      <c r="D25">
        <v>1</v>
      </c>
      <c r="E25">
        <v>1</v>
      </c>
      <c r="F25" t="s">
        <v>88</v>
      </c>
      <c r="G25" t="str">
        <f t="shared" si="1"/>
        <v>무</v>
      </c>
    </row>
    <row r="26" spans="2:7" ht="24.95" customHeight="1" x14ac:dyDescent="0.3">
      <c r="B26" s="1" t="str">
        <f t="shared" si="0"/>
        <v>패</v>
      </c>
      <c r="C26" t="s">
        <v>88</v>
      </c>
      <c r="D26">
        <v>2</v>
      </c>
      <c r="E26">
        <v>5</v>
      </c>
      <c r="F26" t="s">
        <v>38</v>
      </c>
      <c r="G26" t="str">
        <f t="shared" si="1"/>
        <v>승</v>
      </c>
    </row>
    <row r="27" spans="2:7" ht="24.95" customHeight="1" x14ac:dyDescent="0.3">
      <c r="B27" s="1" t="str">
        <f t="shared" si="0"/>
        <v>승</v>
      </c>
      <c r="C27" t="s">
        <v>38</v>
      </c>
      <c r="D27">
        <v>5</v>
      </c>
      <c r="E27">
        <v>3</v>
      </c>
      <c r="F27" t="s">
        <v>88</v>
      </c>
      <c r="G27" t="str">
        <f t="shared" si="1"/>
        <v>패</v>
      </c>
    </row>
    <row r="28" spans="2:7" ht="24.95" customHeight="1" x14ac:dyDescent="0.3">
      <c r="B28" s="1" t="str">
        <f t="shared" si="0"/>
        <v>패</v>
      </c>
      <c r="C28" t="s">
        <v>96</v>
      </c>
      <c r="D28">
        <v>2</v>
      </c>
      <c r="E28">
        <v>3</v>
      </c>
      <c r="F28" t="s">
        <v>97</v>
      </c>
      <c r="G28" t="str">
        <f t="shared" si="1"/>
        <v>승</v>
      </c>
    </row>
    <row r="29" spans="2:7" ht="24.95" customHeight="1" x14ac:dyDescent="0.3">
      <c r="B29" s="1" t="str">
        <f t="shared" si="0"/>
        <v>패</v>
      </c>
      <c r="C29" t="s">
        <v>97</v>
      </c>
      <c r="D29">
        <v>3</v>
      </c>
      <c r="E29">
        <v>4</v>
      </c>
      <c r="F29" t="s">
        <v>96</v>
      </c>
      <c r="G29" t="str">
        <f t="shared" si="1"/>
        <v>승</v>
      </c>
    </row>
    <row r="30" spans="2:7" ht="24.95" customHeight="1" x14ac:dyDescent="0.3">
      <c r="B30" s="1" t="str">
        <f t="shared" si="0"/>
        <v>승</v>
      </c>
      <c r="C30" t="s">
        <v>96</v>
      </c>
      <c r="D30">
        <v>4</v>
      </c>
      <c r="E30">
        <v>2</v>
      </c>
      <c r="F30" t="s">
        <v>38</v>
      </c>
      <c r="G30" t="str">
        <f t="shared" si="1"/>
        <v>패</v>
      </c>
    </row>
    <row r="31" spans="2:7" ht="24.95" customHeight="1" x14ac:dyDescent="0.3">
      <c r="B31" s="1" t="str">
        <f>IF(D31&gt;E31,"승",IF(D31=E31,"무","패"))</f>
        <v>승</v>
      </c>
      <c r="C31" t="s">
        <v>38</v>
      </c>
      <c r="D31">
        <v>3</v>
      </c>
      <c r="E31">
        <v>0</v>
      </c>
      <c r="F31" t="s">
        <v>96</v>
      </c>
      <c r="G31" t="str">
        <f>IF(D31&lt;E31,"승",IF(D31=E31,"무","패"))</f>
        <v>패</v>
      </c>
    </row>
    <row r="32" spans="2:7" ht="24.95" customHeight="1" x14ac:dyDescent="0.3">
      <c r="C32" t="s">
        <v>96</v>
      </c>
    </row>
    <row r="33" spans="3:3" ht="24.95" customHeight="1" x14ac:dyDescent="0.3">
      <c r="C33" t="s">
        <v>36</v>
      </c>
    </row>
    <row r="34" spans="3:3" ht="24.95" customHeight="1" x14ac:dyDescent="0.3">
      <c r="C34" t="s">
        <v>87</v>
      </c>
    </row>
    <row r="35" spans="3:3" ht="24.95" customHeight="1" x14ac:dyDescent="0.3">
      <c r="C35" t="s">
        <v>36</v>
      </c>
    </row>
    <row r="36" spans="3:3" ht="24.95" customHeight="1" x14ac:dyDescent="0.3">
      <c r="C36" t="s">
        <v>88</v>
      </c>
    </row>
    <row r="37" spans="3:3" ht="24.95" customHeight="1" x14ac:dyDescent="0.3">
      <c r="C37" t="s">
        <v>36</v>
      </c>
    </row>
    <row r="38" spans="3:3" ht="24.95" customHeight="1" x14ac:dyDescent="0.3">
      <c r="C38" t="s">
        <v>97</v>
      </c>
    </row>
    <row r="39" spans="3:3" ht="24.95" customHeight="1" x14ac:dyDescent="0.3">
      <c r="C39" t="s">
        <v>36</v>
      </c>
    </row>
    <row r="40" spans="3:3" ht="24.95" customHeight="1" x14ac:dyDescent="0.3">
      <c r="C40" t="s">
        <v>38</v>
      </c>
    </row>
    <row r="41" spans="3:3" ht="24.95" customHeight="1" x14ac:dyDescent="0.3">
      <c r="C41" t="s">
        <v>36</v>
      </c>
    </row>
    <row r="42" spans="3:3" ht="24.95" customHeight="1" x14ac:dyDescent="0.3">
      <c r="C42" t="s">
        <v>96</v>
      </c>
    </row>
    <row r="43" spans="3:3" ht="24.95" customHeight="1" x14ac:dyDescent="0.3">
      <c r="C43" t="s">
        <v>87</v>
      </c>
    </row>
    <row r="44" spans="3:3" ht="24.95" customHeight="1" x14ac:dyDescent="0.3">
      <c r="C44" t="s">
        <v>88</v>
      </c>
    </row>
    <row r="45" spans="3:3" ht="24.95" customHeight="1" x14ac:dyDescent="0.3">
      <c r="C45" t="s">
        <v>87</v>
      </c>
    </row>
    <row r="46" spans="3:3" ht="24.95" customHeight="1" x14ac:dyDescent="0.3">
      <c r="C46" t="s">
        <v>97</v>
      </c>
    </row>
    <row r="47" spans="3:3" ht="24.95" customHeight="1" x14ac:dyDescent="0.3">
      <c r="C47" t="s">
        <v>87</v>
      </c>
    </row>
    <row r="48" spans="3:3" ht="24.95" customHeight="1" x14ac:dyDescent="0.3">
      <c r="C48" t="s">
        <v>38</v>
      </c>
    </row>
    <row r="49" spans="3:3" ht="24.95" customHeight="1" x14ac:dyDescent="0.3">
      <c r="C49" t="s">
        <v>87</v>
      </c>
    </row>
    <row r="50" spans="3:3" ht="24.95" customHeight="1" x14ac:dyDescent="0.3">
      <c r="C50" t="s">
        <v>96</v>
      </c>
    </row>
    <row r="51" spans="3:3" ht="24.95" customHeight="1" x14ac:dyDescent="0.3">
      <c r="C51" t="s">
        <v>88</v>
      </c>
    </row>
    <row r="52" spans="3:3" ht="24.95" customHeight="1" x14ac:dyDescent="0.3">
      <c r="C52" t="s">
        <v>97</v>
      </c>
    </row>
    <row r="53" spans="3:3" ht="24.95" customHeight="1" x14ac:dyDescent="0.3">
      <c r="C53" t="s">
        <v>88</v>
      </c>
    </row>
    <row r="54" spans="3:3" ht="24.95" customHeight="1" x14ac:dyDescent="0.3">
      <c r="C54" t="s">
        <v>38</v>
      </c>
    </row>
    <row r="55" spans="3:3" ht="24.95" customHeight="1" x14ac:dyDescent="0.3">
      <c r="C55" t="s">
        <v>88</v>
      </c>
    </row>
    <row r="56" spans="3:3" ht="24.95" customHeight="1" x14ac:dyDescent="0.3">
      <c r="C56" t="s">
        <v>97</v>
      </c>
    </row>
    <row r="57" spans="3:3" ht="24.95" customHeight="1" x14ac:dyDescent="0.3">
      <c r="C57" t="s">
        <v>96</v>
      </c>
    </row>
    <row r="58" spans="3:3" ht="24.95" customHeight="1" x14ac:dyDescent="0.3">
      <c r="C58" t="s">
        <v>38</v>
      </c>
    </row>
    <row r="59" spans="3:3" ht="24.95" customHeight="1" x14ac:dyDescent="0.3">
      <c r="C59" t="s">
        <v>96</v>
      </c>
    </row>
    <row r="60" spans="3:3" ht="24.95" customHeight="1" x14ac:dyDescent="0.3">
      <c r="C60" t="s">
        <v>97</v>
      </c>
    </row>
    <row r="61" spans="3:3" ht="24.95" customHeight="1" x14ac:dyDescent="0.3">
      <c r="C61" t="s">
        <v>38</v>
      </c>
    </row>
    <row r="62" spans="3:3" ht="24.95" customHeight="1" x14ac:dyDescent="0.3"/>
    <row r="63" spans="3:3" ht="24.95" customHeight="1" x14ac:dyDescent="0.3"/>
    <row r="64" spans="3:3" ht="24.95" customHeight="1" x14ac:dyDescent="0.3"/>
    <row r="65" ht="24.95" customHeight="1" x14ac:dyDescent="0.3"/>
    <row r="66" ht="24.95" customHeight="1" x14ac:dyDescent="0.3"/>
    <row r="67" ht="24.95" customHeight="1" x14ac:dyDescent="0.3"/>
    <row r="68" ht="24.95" customHeight="1" x14ac:dyDescent="0.3"/>
    <row r="69" ht="24.95" customHeight="1" x14ac:dyDescent="0.3"/>
    <row r="70" ht="24.95" customHeight="1" x14ac:dyDescent="0.3"/>
    <row r="71" ht="24.95" customHeight="1" x14ac:dyDescent="0.3"/>
    <row r="72" ht="24.95" customHeight="1" x14ac:dyDescent="0.3"/>
    <row r="73" ht="24.95" customHeight="1" x14ac:dyDescent="0.3"/>
    <row r="74" ht="24.95" customHeight="1" x14ac:dyDescent="0.3"/>
    <row r="75" ht="24.95" customHeight="1" x14ac:dyDescent="0.3"/>
    <row r="76" ht="24.95" customHeight="1" x14ac:dyDescent="0.3"/>
    <row r="77" ht="24.95" customHeight="1" x14ac:dyDescent="0.3"/>
    <row r="78" ht="24.95" customHeight="1" x14ac:dyDescent="0.3"/>
    <row r="79" ht="24.95" customHeight="1" x14ac:dyDescent="0.3"/>
    <row r="80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  <row r="92" ht="24.95" customHeight="1" x14ac:dyDescent="0.3"/>
    <row r="93" ht="24.95" customHeight="1" x14ac:dyDescent="0.3"/>
    <row r="94" ht="24.95" customHeight="1" x14ac:dyDescent="0.3"/>
    <row r="95" ht="24.95" customHeight="1" x14ac:dyDescent="0.3"/>
    <row r="96" ht="24.95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1부리그 </vt:lpstr>
      <vt:lpstr>2부리그</vt:lpstr>
      <vt:lpstr>Sheet3</vt:lpstr>
      <vt:lpstr>챔스리그 조별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원영 송</dc:creator>
  <cp:lastModifiedBy>원영 송</cp:lastModifiedBy>
  <dcterms:created xsi:type="dcterms:W3CDTF">2026-02-03T11:00:08Z</dcterms:created>
  <dcterms:modified xsi:type="dcterms:W3CDTF">2026-04-18T19:31:44Z</dcterms:modified>
</cp:coreProperties>
</file>