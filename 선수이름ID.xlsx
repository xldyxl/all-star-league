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원영이\Desktop\파이썬 코딩\"/>
    </mc:Choice>
  </mc:AlternateContent>
  <xr:revisionPtr revIDLastSave="0" documentId="13_ncr:1_{7D3B9362-D933-458F-AF63-457E12AB0BCF}" xr6:coauthVersionLast="47" xr6:coauthVersionMax="47" xr10:uidLastSave="{00000000-0000-0000-0000-000000000000}"/>
  <bookViews>
    <workbookView xWindow="-114" yWindow="-114" windowWidth="36727" windowHeight="20317" xr2:uid="{7D13E602-D0AE-4556-B2BF-020FEB031C4B}"/>
  </bookViews>
  <sheets>
    <sheet name="원본DB" sheetId="1" r:id="rId1"/>
    <sheet name="시즌이미지DB" sheetId="11" r:id="rId2"/>
    <sheet name="신특이미지DB" sheetId="13" r:id="rId3"/>
    <sheet name="강화단계이미지DB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53" i="11" l="1"/>
  <c r="E153" i="11"/>
  <c r="D152" i="11"/>
  <c r="E152" i="11"/>
  <c r="D149" i="11"/>
  <c r="D150" i="11"/>
  <c r="D151" i="11"/>
  <c r="E149" i="11"/>
  <c r="E150" i="11"/>
  <c r="E151" i="11"/>
  <c r="D145" i="11"/>
  <c r="D146" i="11"/>
  <c r="D147" i="11"/>
  <c r="D148" i="11"/>
  <c r="E145" i="11"/>
  <c r="E146" i="11"/>
  <c r="E147" i="11"/>
  <c r="E148" i="11"/>
  <c r="D144" i="11"/>
  <c r="E144" i="11"/>
  <c r="D143" i="11"/>
  <c r="E143" i="11"/>
  <c r="D142" i="11"/>
  <c r="E142" i="11"/>
  <c r="D141" i="11"/>
  <c r="E141" i="11"/>
  <c r="D140" i="11"/>
  <c r="E140" i="11"/>
  <c r="D139" i="11"/>
  <c r="E139" i="11"/>
  <c r="D133" i="11"/>
  <c r="D134" i="11"/>
  <c r="D135" i="11"/>
  <c r="F135" i="11" s="1"/>
  <c r="D136" i="11"/>
  <c r="D137" i="11"/>
  <c r="D138" i="11"/>
  <c r="E133" i="11"/>
  <c r="E134" i="11"/>
  <c r="E135" i="11"/>
  <c r="E136" i="11"/>
  <c r="E137" i="11"/>
  <c r="E138" i="11"/>
  <c r="D129" i="11"/>
  <c r="D130" i="11"/>
  <c r="F130" i="11" s="1"/>
  <c r="D131" i="11"/>
  <c r="F131" i="11" s="1"/>
  <c r="D132" i="11"/>
  <c r="E129" i="11"/>
  <c r="E130" i="11"/>
  <c r="E131" i="11"/>
  <c r="E132" i="11"/>
  <c r="D128" i="11"/>
  <c r="F128" i="11" s="1"/>
  <c r="E128" i="11"/>
  <c r="D127" i="11"/>
  <c r="E127" i="11"/>
  <c r="D126" i="11"/>
  <c r="E126" i="11"/>
  <c r="D125" i="11"/>
  <c r="F125" i="11" s="1"/>
  <c r="E125" i="11"/>
  <c r="D122" i="11"/>
  <c r="D123" i="11"/>
  <c r="D124" i="11"/>
  <c r="F124" i="11" s="1"/>
  <c r="E122" i="11"/>
  <c r="E123" i="11"/>
  <c r="E124" i="11"/>
  <c r="D121" i="11"/>
  <c r="E121" i="11"/>
  <c r="D120" i="11"/>
  <c r="E120" i="11"/>
  <c r="D118" i="11"/>
  <c r="F118" i="11" s="1"/>
  <c r="D119" i="11"/>
  <c r="E118" i="11"/>
  <c r="E119" i="11"/>
  <c r="D115" i="11"/>
  <c r="F115" i="11" s="1"/>
  <c r="D116" i="11"/>
  <c r="D117" i="11"/>
  <c r="F117" i="11" s="1"/>
  <c r="E115" i="11"/>
  <c r="E116" i="11"/>
  <c r="E117" i="11"/>
  <c r="D114" i="11"/>
  <c r="E114" i="11"/>
  <c r="D113" i="11"/>
  <c r="F113" i="11" s="1"/>
  <c r="E113" i="11"/>
  <c r="D112" i="11"/>
  <c r="F112" i="11" s="1"/>
  <c r="E112" i="11"/>
  <c r="D111" i="11"/>
  <c r="F111" i="11" s="1"/>
  <c r="E111" i="11"/>
  <c r="D108" i="11"/>
  <c r="F108" i="11" s="1"/>
  <c r="D109" i="11"/>
  <c r="D110" i="11"/>
  <c r="E108" i="11"/>
  <c r="E109" i="11"/>
  <c r="E110" i="11"/>
  <c r="D107" i="11"/>
  <c r="F107" i="11" s="1"/>
  <c r="E107" i="11"/>
  <c r="D105" i="11"/>
  <c r="D106" i="11"/>
  <c r="E105" i="11"/>
  <c r="E106" i="11"/>
  <c r="D103" i="11"/>
  <c r="F103" i="11" s="1"/>
  <c r="D104" i="11"/>
  <c r="F104" i="11" s="1"/>
  <c r="E103" i="11"/>
  <c r="E104" i="11"/>
  <c r="D100" i="11"/>
  <c r="D101" i="11"/>
  <c r="D102" i="11"/>
  <c r="F102" i="11" s="1"/>
  <c r="E100" i="11"/>
  <c r="E101" i="11"/>
  <c r="E102" i="11"/>
  <c r="D99" i="11"/>
  <c r="F99" i="11" s="1"/>
  <c r="E99" i="11"/>
  <c r="D98" i="11"/>
  <c r="E98" i="11"/>
  <c r="F143" i="11" l="1"/>
  <c r="F134" i="11"/>
  <c r="F109" i="11"/>
  <c r="F140" i="11"/>
  <c r="F119" i="11"/>
  <c r="F100" i="11"/>
  <c r="F114" i="11"/>
  <c r="F120" i="11"/>
  <c r="F126" i="11"/>
  <c r="F129" i="11"/>
  <c r="F133" i="11"/>
  <c r="F144" i="11"/>
  <c r="F151" i="11"/>
  <c r="F150" i="11"/>
  <c r="F101" i="11"/>
  <c r="F110" i="11"/>
  <c r="F121" i="11"/>
  <c r="F127" i="11"/>
  <c r="F139" i="11"/>
  <c r="F149" i="11"/>
  <c r="F152" i="11"/>
  <c r="F116" i="11"/>
  <c r="F148" i="11"/>
  <c r="F98" i="11"/>
  <c r="F141" i="11"/>
  <c r="F147" i="11"/>
  <c r="F153" i="11"/>
  <c r="F106" i="11"/>
  <c r="F123" i="11"/>
  <c r="F138" i="11"/>
  <c r="F146" i="11"/>
  <c r="F105" i="11"/>
  <c r="F122" i="11"/>
  <c r="F137" i="11"/>
  <c r="F142" i="11"/>
  <c r="F145" i="11"/>
  <c r="F132" i="11"/>
  <c r="F136" i="11"/>
  <c r="E14" i="13"/>
  <c r="D14" i="13"/>
  <c r="F14" i="13" s="1"/>
  <c r="E13" i="13"/>
  <c r="D13" i="13"/>
  <c r="F13" i="13" s="1"/>
  <c r="E12" i="13"/>
  <c r="D12" i="13"/>
  <c r="F12" i="13" s="1"/>
  <c r="E11" i="13"/>
  <c r="D11" i="13"/>
  <c r="F11" i="13" s="1"/>
  <c r="E10" i="13"/>
  <c r="D10" i="13"/>
  <c r="F10" i="13" s="1"/>
  <c r="E9" i="13"/>
  <c r="D9" i="13"/>
  <c r="F9" i="13" s="1"/>
  <c r="E8" i="13"/>
  <c r="D8" i="13"/>
  <c r="F8" i="13" s="1"/>
  <c r="Q7" i="13"/>
  <c r="F7" i="13"/>
  <c r="E7" i="13"/>
  <c r="D7" i="13"/>
  <c r="Q6" i="13"/>
  <c r="E6" i="13"/>
  <c r="D6" i="13"/>
  <c r="F6" i="13" s="1"/>
  <c r="E5" i="13"/>
  <c r="D5" i="13"/>
  <c r="F5" i="13" s="1"/>
  <c r="Q4" i="13"/>
  <c r="E4" i="13"/>
  <c r="D4" i="13"/>
  <c r="F4" i="13" s="1"/>
  <c r="Q3" i="13"/>
  <c r="E3" i="13"/>
  <c r="D3" i="13"/>
  <c r="F3" i="13" s="1"/>
  <c r="Q2" i="13"/>
  <c r="E2" i="13"/>
  <c r="D2" i="13"/>
  <c r="F2" i="13" s="1"/>
  <c r="E14" i="12"/>
  <c r="D14" i="12"/>
  <c r="F14" i="12" s="1"/>
  <c r="E13" i="12"/>
  <c r="D13" i="12"/>
  <c r="F13" i="12" s="1"/>
  <c r="E12" i="12"/>
  <c r="D12" i="12"/>
  <c r="F12" i="12" s="1"/>
  <c r="E11" i="12"/>
  <c r="D11" i="12"/>
  <c r="F11" i="12" s="1"/>
  <c r="E10" i="12"/>
  <c r="D10" i="12"/>
  <c r="F10" i="12" s="1"/>
  <c r="E9" i="12"/>
  <c r="D9" i="12"/>
  <c r="F9" i="12" s="1"/>
  <c r="E8" i="12"/>
  <c r="D8" i="12"/>
  <c r="F8" i="12" s="1"/>
  <c r="Q7" i="12"/>
  <c r="F7" i="12"/>
  <c r="E7" i="12"/>
  <c r="D7" i="12"/>
  <c r="Q6" i="12"/>
  <c r="E6" i="12"/>
  <c r="D6" i="12"/>
  <c r="F6" i="12" s="1"/>
  <c r="E5" i="12"/>
  <c r="D5" i="12"/>
  <c r="F5" i="12" s="1"/>
  <c r="Q4" i="12"/>
  <c r="E4" i="12"/>
  <c r="D4" i="12"/>
  <c r="F4" i="12" s="1"/>
  <c r="Q3" i="12"/>
  <c r="E3" i="12"/>
  <c r="D3" i="12"/>
  <c r="F3" i="12" s="1"/>
  <c r="Q2" i="12"/>
  <c r="E2" i="12"/>
  <c r="D2" i="12"/>
  <c r="F2" i="12" s="1"/>
  <c r="E97" i="11"/>
  <c r="D97" i="11"/>
  <c r="E96" i="11"/>
  <c r="D96" i="11"/>
  <c r="E95" i="11"/>
  <c r="D95" i="11"/>
  <c r="E94" i="11"/>
  <c r="D94" i="11"/>
  <c r="E93" i="11"/>
  <c r="D93" i="11"/>
  <c r="E92" i="11"/>
  <c r="D92" i="11"/>
  <c r="E91" i="11"/>
  <c r="D91" i="11"/>
  <c r="E90" i="11"/>
  <c r="D90" i="11"/>
  <c r="E89" i="11"/>
  <c r="D89" i="11"/>
  <c r="E88" i="11"/>
  <c r="D88" i="11"/>
  <c r="E87" i="11"/>
  <c r="D87" i="11"/>
  <c r="E86" i="11"/>
  <c r="D86" i="11"/>
  <c r="E85" i="11"/>
  <c r="D85" i="11"/>
  <c r="E84" i="11"/>
  <c r="D84" i="11"/>
  <c r="E83" i="11"/>
  <c r="D83" i="11"/>
  <c r="E82" i="11"/>
  <c r="D82" i="11"/>
  <c r="E81" i="11"/>
  <c r="D81" i="11"/>
  <c r="E80" i="11"/>
  <c r="D80" i="11"/>
  <c r="E79" i="11"/>
  <c r="D79" i="11"/>
  <c r="E78" i="11"/>
  <c r="D78" i="11"/>
  <c r="E77" i="11"/>
  <c r="D77" i="11"/>
  <c r="E76" i="11"/>
  <c r="D76" i="11"/>
  <c r="E75" i="11"/>
  <c r="D75" i="11"/>
  <c r="E74" i="11"/>
  <c r="D74" i="11"/>
  <c r="E73" i="11"/>
  <c r="D73" i="11"/>
  <c r="E72" i="11"/>
  <c r="D72" i="11"/>
  <c r="E71" i="11"/>
  <c r="D71" i="11"/>
  <c r="E70" i="11"/>
  <c r="D70" i="11"/>
  <c r="E69" i="11"/>
  <c r="D69" i="11"/>
  <c r="E68" i="11"/>
  <c r="D68" i="11"/>
  <c r="E67" i="11"/>
  <c r="D67" i="11"/>
  <c r="E66" i="11"/>
  <c r="D66" i="11"/>
  <c r="E65" i="11"/>
  <c r="D65" i="11"/>
  <c r="E64" i="11"/>
  <c r="D64" i="11"/>
  <c r="E63" i="11"/>
  <c r="D63" i="11"/>
  <c r="E62" i="11"/>
  <c r="D62" i="11"/>
  <c r="E61" i="11"/>
  <c r="D61" i="11"/>
  <c r="E60" i="11"/>
  <c r="D60" i="11"/>
  <c r="E59" i="11"/>
  <c r="D59" i="11"/>
  <c r="E58" i="11"/>
  <c r="D58" i="11"/>
  <c r="E57" i="11"/>
  <c r="D57" i="11"/>
  <c r="E56" i="11"/>
  <c r="D56" i="11"/>
  <c r="E55" i="11"/>
  <c r="D55" i="11"/>
  <c r="E54" i="11"/>
  <c r="D54" i="11"/>
  <c r="E53" i="11"/>
  <c r="D53" i="11"/>
  <c r="E52" i="11"/>
  <c r="D52" i="11"/>
  <c r="E51" i="11"/>
  <c r="D51" i="11"/>
  <c r="E50" i="11"/>
  <c r="D50" i="11"/>
  <c r="E49" i="11"/>
  <c r="D49" i="11"/>
  <c r="E48" i="11"/>
  <c r="D48" i="11"/>
  <c r="E47" i="11"/>
  <c r="D47" i="11"/>
  <c r="E46" i="11"/>
  <c r="D46" i="11"/>
  <c r="E45" i="11"/>
  <c r="D45" i="11"/>
  <c r="E44" i="11"/>
  <c r="D44" i="11"/>
  <c r="E43" i="11"/>
  <c r="D43" i="11"/>
  <c r="E42" i="11"/>
  <c r="D42" i="11"/>
  <c r="E41" i="11"/>
  <c r="D41" i="11"/>
  <c r="E40" i="11"/>
  <c r="D40" i="11"/>
  <c r="E39" i="11"/>
  <c r="D39" i="11"/>
  <c r="E38" i="11"/>
  <c r="D38" i="11"/>
  <c r="E37" i="11"/>
  <c r="D37" i="11"/>
  <c r="E36" i="11"/>
  <c r="D36" i="11"/>
  <c r="E35" i="11"/>
  <c r="D35" i="11"/>
  <c r="E34" i="11"/>
  <c r="D34" i="11"/>
  <c r="E33" i="11"/>
  <c r="D33" i="11"/>
  <c r="E32" i="11"/>
  <c r="D32" i="11"/>
  <c r="E31" i="11"/>
  <c r="D31" i="11"/>
  <c r="E30" i="11"/>
  <c r="D30" i="11"/>
  <c r="E29" i="11"/>
  <c r="D29" i="11"/>
  <c r="E28" i="11"/>
  <c r="D28" i="11"/>
  <c r="E27" i="11"/>
  <c r="D27" i="11"/>
  <c r="E26" i="11"/>
  <c r="D26" i="11"/>
  <c r="E25" i="11"/>
  <c r="D25" i="11"/>
  <c r="E24" i="11"/>
  <c r="D24" i="11"/>
  <c r="E23" i="11"/>
  <c r="D23" i="11"/>
  <c r="E22" i="11"/>
  <c r="D22" i="11"/>
  <c r="E21" i="11"/>
  <c r="D21" i="11"/>
  <c r="E20" i="11"/>
  <c r="D20" i="11"/>
  <c r="E19" i="11"/>
  <c r="D19" i="11"/>
  <c r="E18" i="11"/>
  <c r="D18" i="11"/>
  <c r="E17" i="11"/>
  <c r="D17" i="11"/>
  <c r="E16" i="11"/>
  <c r="D16" i="11"/>
  <c r="E15" i="11"/>
  <c r="D15" i="11"/>
  <c r="E14" i="11"/>
  <c r="D14" i="11"/>
  <c r="E13" i="11"/>
  <c r="D13" i="11"/>
  <c r="E12" i="11"/>
  <c r="D12" i="11"/>
  <c r="E11" i="11"/>
  <c r="D11" i="11"/>
  <c r="E10" i="11"/>
  <c r="D10" i="11"/>
  <c r="E9" i="11"/>
  <c r="D9" i="11"/>
  <c r="E8" i="11"/>
  <c r="D8" i="11"/>
  <c r="Q7" i="11"/>
  <c r="E7" i="11"/>
  <c r="D7" i="11"/>
  <c r="Q6" i="11"/>
  <c r="E6" i="11"/>
  <c r="D6" i="11"/>
  <c r="E5" i="11"/>
  <c r="D5" i="11"/>
  <c r="Q4" i="11"/>
  <c r="E4" i="11"/>
  <c r="D4" i="11"/>
  <c r="Q3" i="11"/>
  <c r="E3" i="11"/>
  <c r="D3" i="11"/>
  <c r="Q2" i="11"/>
  <c r="E2" i="11"/>
  <c r="D2" i="11"/>
  <c r="F49" i="11" l="1"/>
  <c r="F4" i="11"/>
  <c r="F6" i="11"/>
  <c r="F17" i="11"/>
  <c r="F65" i="11"/>
  <c r="F85" i="11"/>
  <c r="F8" i="11"/>
  <c r="F14" i="11"/>
  <c r="F20" i="11"/>
  <c r="F26" i="11"/>
  <c r="F44" i="11"/>
  <c r="F56" i="11"/>
  <c r="F62" i="11"/>
  <c r="F74" i="11"/>
  <c r="F92" i="11"/>
  <c r="F33" i="11"/>
  <c r="F5" i="11"/>
  <c r="F13" i="11"/>
  <c r="F25" i="11"/>
  <c r="F37" i="11"/>
  <c r="F43" i="11"/>
  <c r="F55" i="11"/>
  <c r="F61" i="11"/>
  <c r="F73" i="11"/>
  <c r="F3" i="11"/>
  <c r="F90" i="11"/>
  <c r="F91" i="11"/>
  <c r="F97" i="11"/>
  <c r="F9" i="11"/>
  <c r="F21" i="11"/>
  <c r="F27" i="11"/>
  <c r="F39" i="11"/>
  <c r="F45" i="11"/>
  <c r="F57" i="11"/>
  <c r="F69" i="11"/>
  <c r="F75" i="11"/>
  <c r="F81" i="11"/>
  <c r="F87" i="11"/>
  <c r="F93" i="11"/>
  <c r="F10" i="11"/>
  <c r="F28" i="11"/>
  <c r="F40" i="11"/>
  <c r="F46" i="11"/>
  <c r="F58" i="11"/>
  <c r="F76" i="11"/>
  <c r="F88" i="11"/>
  <c r="F94" i="11"/>
  <c r="F2" i="11"/>
  <c r="F11" i="11"/>
  <c r="F23" i="11"/>
  <c r="F29" i="11"/>
  <c r="F41" i="11"/>
  <c r="F53" i="11"/>
  <c r="F59" i="11"/>
  <c r="F71" i="11"/>
  <c r="F77" i="11"/>
  <c r="F89" i="11"/>
  <c r="F12" i="11"/>
  <c r="F24" i="11"/>
  <c r="F30" i="11"/>
  <c r="F42" i="11"/>
  <c r="F60" i="11"/>
  <c r="F72" i="11"/>
  <c r="F78" i="11"/>
  <c r="F22" i="11"/>
  <c r="F38" i="11"/>
  <c r="F54" i="11"/>
  <c r="F70" i="11"/>
  <c r="F86" i="11"/>
  <c r="F7" i="11"/>
  <c r="F18" i="11"/>
  <c r="F34" i="11"/>
  <c r="F50" i="11"/>
  <c r="F66" i="11"/>
  <c r="F82" i="11"/>
  <c r="F19" i="11"/>
  <c r="F35" i="11"/>
  <c r="F51" i="11"/>
  <c r="F67" i="11"/>
  <c r="F83" i="11"/>
  <c r="F36" i="11"/>
  <c r="F52" i="11"/>
  <c r="F68" i="11"/>
  <c r="F84" i="11"/>
  <c r="F15" i="11"/>
  <c r="F31" i="11"/>
  <c r="F47" i="11"/>
  <c r="F63" i="11"/>
  <c r="F79" i="11"/>
  <c r="F95" i="11"/>
  <c r="F16" i="11"/>
  <c r="F32" i="11"/>
  <c r="F48" i="11"/>
  <c r="F64" i="11"/>
  <c r="F80" i="11"/>
  <c r="F96" i="1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7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</futureMetadata>
  <valueMetadata count="17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</valueMetadata>
</metadata>
</file>

<file path=xl/sharedStrings.xml><?xml version="1.0" encoding="utf-8"?>
<sst xmlns="http://schemas.openxmlformats.org/spreadsheetml/2006/main" count="908" uniqueCount="457">
  <si>
    <t>열1</t>
  </si>
  <si>
    <t>선수이름ID</t>
    <phoneticPr fontId="1" type="noConversion"/>
  </si>
  <si>
    <t>파일명</t>
  </si>
  <si>
    <t>파일ID</t>
  </si>
  <si>
    <t>IMAGE함수용주소</t>
  </si>
  <si>
    <t>함수용주소를 DIRECT주소로 변경</t>
    <phoneticPr fontId="3" type="noConversion"/>
  </si>
  <si>
    <t>대체텍스트</t>
    <phoneticPr fontId="3" type="noConversion"/>
  </si>
  <si>
    <t>높이(세로)</t>
    <phoneticPr fontId="3" type="noConversion"/>
  </si>
  <si>
    <t>넓이(가로)</t>
    <phoneticPr fontId="3" type="noConversion"/>
  </si>
  <si>
    <t>GK공중볼장악.png</t>
  </si>
  <si>
    <t>17OhRN9tFgzTpQw7EnPIBmXw4u-SGsuRB</t>
  </si>
  <si>
    <t>https://drive.google.com/uc?export=view&amp;id=17OhRN9tFgzTpQw7EnPIBmXw4u-SGsuRB</t>
  </si>
  <si>
    <t>GK빠른반응.png</t>
  </si>
  <si>
    <t>1mLPuqir-2bZzjYuJhIXvBuV_QhdXybwR</t>
  </si>
  <si>
    <t>https://drive.google.com/uc?export=view&amp;id=1mLPuqir-2bZzjYuJhIXvBuV_QhdXybwR</t>
  </si>
  <si>
    <t>두개의심장.png</t>
  </si>
  <si>
    <t>1ym0qtaqsapU6AKB220b6yiRFyC5F0Uoi</t>
  </si>
  <si>
    <t>https://drive.google.com/uc?export=view&amp;id=1ym0qtaqsapU6AKB220b6yiRFyC5F0Uoi</t>
  </si>
  <si>
    <t>라인브레이커.png</t>
  </si>
  <si>
    <t>1xZDwuyNHyhfqCVabUFuBEMuZq66sxW8K</t>
  </si>
  <si>
    <t>https://drive.google.com/uc?export=view&amp;id=1xZDwuyNHyhfqCVabUFuBEMuZq66sxW8K</t>
  </si>
  <si>
    <t>스피드스터.png</t>
  </si>
  <si>
    <t>1Uo48kxu30mpjvpkt3cjGUSCXKs8nYTQC</t>
  </si>
  <si>
    <t>https://drive.google.com/uc?export=view&amp;id=1Uo48kxu30mpjvpkt3cjGUSCXKs8nYTQC</t>
  </si>
  <si>
    <t>아크로바틱.png</t>
  </si>
  <si>
    <t>1qbVXpWySzYBuTOlsS_Ua3qn8r0uPt_WF</t>
  </si>
  <si>
    <t>https://drive.google.com/uc?export=view&amp;id=1qbVXpWySzYBuTOlsS_Ua3qn8r0uPt_WF</t>
  </si>
  <si>
    <t>크로스포쳐.png</t>
  </si>
  <si>
    <t>1rzuRajp1_rEGliTWaJ1c0gpG0rRvEg6M</t>
  </si>
  <si>
    <t>https://drive.google.com/uc?export=view&amp;id=1rzuRajp1_rEGliTWaJ1c0gpG0rRvEg6M</t>
  </si>
  <si>
    <t>커맨더.png</t>
  </si>
  <si>
    <t>1AHxLA76rJa-CT8kaDUFVyCmPXTiQvemr</t>
  </si>
  <si>
    <t>https://drive.google.com/uc?export=view&amp;id=1AHxLA76rJa-CT8kaDUFVyCmPXTiQvemr</t>
  </si>
  <si>
    <t>타이탄.png</t>
  </si>
  <si>
    <t>1JW0760-terqy1g7ertCdyg4Q2vLWjZlF</t>
  </si>
  <si>
    <t>https://drive.google.com/uc?export=view&amp;id=1JW0760-terqy1g7ertCdyg4Q2vLWjZlF</t>
  </si>
  <si>
    <t>체이서.png</t>
  </si>
  <si>
    <t>1r7wJCSFrgbeVfYYtmG8plfXJ7Z5xyCMs</t>
  </si>
  <si>
    <t>https://drive.google.com/uc?export=view&amp;id=1r7wJCSFrgbeVfYYtmG8plfXJ7Z5xyCMs</t>
  </si>
  <si>
    <t>와일드태클러.png</t>
  </si>
  <si>
    <t>1cnhpMUfqxIzZt9usDlurofLQAGRRF5Wh</t>
  </si>
  <si>
    <t>https://drive.google.com/uc?export=view&amp;id=1cnhpMUfqxIzZt9usDlurofLQAGRRF5Wh</t>
  </si>
  <si>
    <t>파이터.png</t>
  </si>
  <si>
    <t>1Q0yEFQhafQ2ddMFFVJnv9tnq53eNmIpq</t>
  </si>
  <si>
    <t>https://drive.google.com/uc?export=view&amp;id=1Q0yEFQhafQ2ddMFFVJnv9tnq53eNmIpq</t>
  </si>
  <si>
    <t>블로커.png</t>
  </si>
  <si>
    <t>1Ezt5ewU1w085pzx7N8Up32AWdmREq7kf</t>
  </si>
  <si>
    <t>https://drive.google.com/uc?export=view&amp;id=1Ezt5ewU1w085pzx7N8Up32AWdmREq7kf</t>
  </si>
  <si>
    <t>열2</t>
  </si>
  <si>
    <t>신규특성</t>
    <phoneticPr fontId="3" type="noConversion"/>
  </si>
  <si>
    <t>시즌</t>
    <phoneticPr fontId="3" type="noConversion"/>
  </si>
  <si>
    <t>UT.png</t>
  </si>
  <si>
    <t>1eSx1cOb5xCi6g5da8YCiUtQoy1rrSNGk</t>
  </si>
  <si>
    <t>https://drive.google.com/uc?export=view&amp;id=1eSx1cOb5xCi6g5da8YCiUtQoy1rrSNGk</t>
  </si>
  <si>
    <t>UP.png</t>
  </si>
  <si>
    <t>1p9F4_SeDN1JT2s3Tz2Hmgd7XQ1O9xHwC</t>
  </si>
  <si>
    <t>https://drive.google.com/uc?export=view&amp;id=1p9F4_SeDN1JT2s3Tz2Hmgd7XQ1O9xHwC</t>
  </si>
  <si>
    <t>OTW.png</t>
  </si>
  <si>
    <t>1QG0KvAYYQN3zhRRo1zRfqyywDGbwrPF6</t>
  </si>
  <si>
    <t>https://drive.google.com/uc?export=view&amp;id=1QG0KvAYYQN3zhRRo1zRfqyywDGbwrPF6</t>
  </si>
  <si>
    <t>1cMjlm8j0ChYV6dJ0auOQZ70fwE5Bzmao</t>
  </si>
  <si>
    <t>https://drive.google.com/uc?export=view&amp;id=1cMjlm8j0ChYV6dJ0auOQZ70fwE5Bzmao</t>
  </si>
  <si>
    <t>MDL.png</t>
  </si>
  <si>
    <t>1Q9xIsylGQSYsOMs_om4uUvmfdS1TxCXk</t>
  </si>
  <si>
    <t>https://drive.google.com/uc?export=view&amp;id=1Q9xIsylGQSYsOMs_om4uUvmfdS1TxCXk</t>
  </si>
  <si>
    <t>25FSL.png</t>
  </si>
  <si>
    <t>1uyizApWq6aD_CPCAyiGDaK060EeJjc4G</t>
  </si>
  <si>
    <t>https://drive.google.com/uc?export=view&amp;id=1uyizApWq6aD_CPCAyiGDaK060EeJjc4G</t>
  </si>
  <si>
    <t>25HR.png</t>
  </si>
  <si>
    <t>1xmNxqz6weMXAsAPiJNzauU2if5kHa49S</t>
  </si>
  <si>
    <t>https://drive.google.com/uc?export=view&amp;id=1xmNxqz6weMXAsAPiJNzauU2if5kHa49S</t>
  </si>
  <si>
    <t>26HR.png</t>
  </si>
  <si>
    <t>1V3IzWFUCOfsoQd-bmsjHmR3SeVLgJt4W</t>
  </si>
  <si>
    <t>https://drive.google.com/uc?export=view&amp;id=1V3IzWFUCOfsoQd-bmsjHmR3SeVLgJt4W</t>
  </si>
  <si>
    <t>NO7.png</t>
  </si>
  <si>
    <t>1zgp9SKHovBoGc8XpyO2emeQz8X90AHiG</t>
  </si>
  <si>
    <t>https://drive.google.com/uc?export=view&amp;id=1zgp9SKHovBoGc8XpyO2emeQz8X90AHiG</t>
  </si>
  <si>
    <t>23NG.png</t>
  </si>
  <si>
    <t>1spTqSv-vaqD9OTX3zkwoxV5UKIn1KEhh</t>
  </si>
  <si>
    <t>https://drive.google.com/uc?export=view&amp;id=1spTqSv-vaqD9OTX3zkwoxV5UKIn1KEhh</t>
  </si>
  <si>
    <t>1-IOX6GX1Y0sDso8wLlBqFs_hVadVK48s</t>
  </si>
  <si>
    <t>https://drive.google.com/uc?export=view&amp;id=1-IOX6GX1Y0sDso8wLlBqFs_hVadVK48s</t>
  </si>
  <si>
    <t>24LIVE.png</t>
  </si>
  <si>
    <t>1ILivnbOVDjJcsuKhCouVq11GHWd3pmeM</t>
  </si>
  <si>
    <t>https://drive.google.com/uc?export=view&amp;id=1ILivnbOVDjJcsuKhCouVq11GHWd3pmeM</t>
  </si>
  <si>
    <t>BWC.png</t>
  </si>
  <si>
    <t>1jI3qGsJtsMvCVsv4b3ftltjfJumES6tq</t>
  </si>
  <si>
    <t>https://drive.google.com/uc?export=view&amp;id=1jI3qGsJtsMvCVsv4b3ftltjfJumES6tq</t>
  </si>
  <si>
    <t>23LIVE.png</t>
  </si>
  <si>
    <t>1jgdPO4x_Q2pBBg6mHGo8ITg-KUQcs5Sv</t>
  </si>
  <si>
    <t>https://drive.google.com/uc?export=view&amp;id=1jgdPO4x_Q2pBBg6mHGo8ITg-KUQcs5Sv</t>
  </si>
  <si>
    <t>1gtM3iyUXeAb8cUC8hBtmEWknp7SvEp9w</t>
  </si>
  <si>
    <t>https://drive.google.com/uc?export=view&amp;id=1gtM3iyUXeAb8cUC8hBtmEWknp7SvEp9w</t>
  </si>
  <si>
    <t>VTR.png</t>
  </si>
  <si>
    <t>1WlllAu8aXBkGnMzimsAvwgWlm_r_XxU6</t>
  </si>
  <si>
    <t>https://drive.google.com/uc?export=view&amp;id=1WlllAu8aXBkGnMzimsAvwgWlm_r_XxU6</t>
  </si>
  <si>
    <t>CAP.png</t>
  </si>
  <si>
    <t>1pnmR2t7PiN1FVKzsB0pnc79_GXjLcO31</t>
  </si>
  <si>
    <t>https://drive.google.com/uc?export=view&amp;id=1pnmR2t7PiN1FVKzsB0pnc79_GXjLcO31</t>
  </si>
  <si>
    <t>LD.png</t>
  </si>
  <si>
    <t>1wUUWK8JBAZtR_X-jAFZ8ouO9PDmRfvyM</t>
  </si>
  <si>
    <t>https://drive.google.com/uc?export=view&amp;id=1wUUWK8JBAZtR_X-jAFZ8ouO9PDmRfvyM</t>
  </si>
  <si>
    <t>EU24.png</t>
  </si>
  <si>
    <t>1q6DTC7UjbHWujxlQMGnooUHZgCOSgoc_</t>
  </si>
  <si>
    <t>https://drive.google.com/uc?export=view&amp;id=1q6DTC7UjbHWujxlQMGnooUHZgCOSgoc_</t>
  </si>
  <si>
    <t>1GL5wYMGDDdTA5JlzmCpLl6YrZF9hDtIR</t>
  </si>
  <si>
    <t>https://drive.google.com/uc?export=view&amp;id=1GL5wYMGDDdTA5JlzmCpLl6YrZF9hDtIR</t>
  </si>
  <si>
    <t>1Z0SVxlC3CWAKxtcCxfOuacqLBNe_N8Ql</t>
  </si>
  <si>
    <t>https://drive.google.com/uc?export=view&amp;id=1Z0SVxlC3CWAKxtcCxfOuacqLBNe_N8Ql</t>
  </si>
  <si>
    <t>23HW.png</t>
  </si>
  <si>
    <t>13UBKA2y83XgUcbVi6MsON6m0KS80UIG7</t>
  </si>
  <si>
    <t>https://drive.google.com/uc?export=view&amp;id=13UBKA2y83XgUcbVi6MsON6m0KS80UIG7</t>
  </si>
  <si>
    <t>1HPcQqhJ_GfZsudCwdrbHreWCqS0C5QvR</t>
  </si>
  <si>
    <t>https://drive.google.com/uc?export=view&amp;id=1HPcQqhJ_GfZsudCwdrbHreWCqS0C5QvR</t>
  </si>
  <si>
    <t>19UCL.png</t>
  </si>
  <si>
    <t>1tpASOVFFH19yg0BAjumZfpG5ATsplll2</t>
  </si>
  <si>
    <t>https://drive.google.com/uc?export=view&amp;id=1tpASOVFFH19yg0BAjumZfpG5ATsplll2</t>
  </si>
  <si>
    <t>1HguCT0IcWKw7bZ1M-kfiRaH0MXgp36WF</t>
  </si>
  <si>
    <t>https://drive.google.com/uc?export=view&amp;id=1HguCT0IcWKw7bZ1M-kfiRaH0MXgp36WF</t>
  </si>
  <si>
    <t>1V-WJIlMxJB6n5SuDE8Af3xz0rFOMJX2I</t>
  </si>
  <si>
    <t>https://drive.google.com/uc?export=view&amp;id=1V-WJIlMxJB6n5SuDE8Af3xz0rFOMJX2I</t>
  </si>
  <si>
    <t>TT.png</t>
  </si>
  <si>
    <t>1MxOx33wt_pLd-mOJt2JpwOo14OleF32h</t>
  </si>
  <si>
    <t>https://drive.google.com/uc?export=view&amp;id=1MxOx33wt_pLd-mOJt2JpwOo14OleF32h</t>
  </si>
  <si>
    <t>18PLS.png</t>
  </si>
  <si>
    <t>1W6Ky5ZGm7l7ZmmoawU7UcPLtadd-8XJp</t>
  </si>
  <si>
    <t>https://drive.google.com/uc?export=view&amp;id=1W6Ky5ZGm7l7ZmmoawU7UcPLtadd-8XJp</t>
  </si>
  <si>
    <t>1YC8vkxRyY-KUzQIA2ARn03m9ylpwSunS</t>
  </si>
  <si>
    <t>https://drive.google.com/uc?export=view&amp;id=1YC8vkxRyY-KUzQIA2ARn03m9ylpwSunS</t>
  </si>
  <si>
    <t>1iQB8PAOaokPHT-uZ7L8vOT94Znh0z9Cy</t>
  </si>
  <si>
    <t>https://drive.google.com/uc?export=view&amp;id=1iQB8PAOaokPHT-uZ7L8vOT94Znh0z9Cy</t>
  </si>
  <si>
    <t>NHD.png</t>
  </si>
  <si>
    <t>17HPBRgCgLBlz4xdaC6fE0Opr-x8YfDJW</t>
  </si>
  <si>
    <t>https://drive.google.com/uc?export=view&amp;id=17HPBRgCgLBlz4xdaC6fE0Opr-x8YfDJW</t>
  </si>
  <si>
    <t>19PLS.png</t>
  </si>
  <si>
    <t>1vJcJb7qk9Cv_9zyH8abblJyS3ixI3uQa</t>
  </si>
  <si>
    <t>https://drive.google.com/uc?export=view&amp;id=1vJcJb7qk9Cv_9zyH8abblJyS3ixI3uQa</t>
  </si>
  <si>
    <t>HOT.png</t>
  </si>
  <si>
    <t>1jK9pn_OPr9rx4JMwomqxqZYFp1Wp5RC1</t>
  </si>
  <si>
    <t>https://drive.google.com/uc?export=view&amp;id=1jK9pn_OPr9rx4JMwomqxqZYFp1Wp5RC1</t>
  </si>
  <si>
    <t>FA.png</t>
  </si>
  <si>
    <t>1h6cu9INHU0gI99onqAuO2AoyWzPPmJBN</t>
  </si>
  <si>
    <t>https://drive.google.com/uc?export=view&amp;id=1h6cu9INHU0gI99onqAuO2AoyWzPPmJBN</t>
  </si>
  <si>
    <t>WB.png</t>
  </si>
  <si>
    <t>1VOskYw6_srkzJF7nXupJRvdC1Z3NZNPA</t>
  </si>
  <si>
    <t>https://drive.google.com/uc?export=view&amp;id=1VOskYw6_srkzJF7nXupJRvdC1Z3NZNPA</t>
  </si>
  <si>
    <t>DC.png</t>
  </si>
  <si>
    <t>1X5O_nktVqj1a_6ZT7HWTKJp4pcaXgQbD</t>
  </si>
  <si>
    <t>https://drive.google.com/uc?export=view&amp;id=1X5O_nktVqj1a_6ZT7HWTKJp4pcaXgQbD</t>
  </si>
  <si>
    <t>ICON.png</t>
  </si>
  <si>
    <t>1GOiQbHAa09fPjsxSA5D-k7oh-hwI1rBu</t>
  </si>
  <si>
    <t>https://drive.google.com/uc?export=view&amp;id=1GOiQbHAa09fPjsxSA5D-k7oh-hwI1rBu</t>
  </si>
  <si>
    <t>HG.png</t>
  </si>
  <si>
    <t>1ecTjhlF7jf1RrIou7a759XI9a8DeSQxo</t>
  </si>
  <si>
    <t>https://drive.google.com/uc?export=view&amp;id=1ecTjhlF7jf1RrIou7a759XI9a8DeSQxo</t>
  </si>
  <si>
    <t>LN.png</t>
  </si>
  <si>
    <t>1XScIHpJiX9Pw2p99Wms2Xwf351s2QJ-C</t>
  </si>
  <si>
    <t>https://drive.google.com/uc?export=view&amp;id=1XScIHpJiX9Pw2p99Wms2Xwf351s2QJ-C</t>
  </si>
  <si>
    <t>BTB.png</t>
  </si>
  <si>
    <t>1LIqCU6blcnCcWf-ZqT7DLZ1-BSnHbAbB</t>
  </si>
  <si>
    <t>https://drive.google.com/uc?export=view&amp;id=1LIqCU6blcnCcWf-ZqT7DLZ1-BSnHbAbB</t>
  </si>
  <si>
    <t>TC.png</t>
  </si>
  <si>
    <t>1iUzHdBNRvQjBUseyJFyaMTLr7kTkOe6Q</t>
  </si>
  <si>
    <t>https://drive.google.com/uc?export=view&amp;id=1iUzHdBNRvQjBUseyJFyaMTLr7kTkOe6Q</t>
  </si>
  <si>
    <t>23UCL.png</t>
  </si>
  <si>
    <t>13yhA6-1mpZuvrbT1HFcYmfJGGBjejuau</t>
  </si>
  <si>
    <t>https://drive.google.com/uc?export=view&amp;id=13yhA6-1mpZuvrbT1HFcYmfJGGBjejuau</t>
  </si>
  <si>
    <t>1k_Fd_o6wWdoKYQt33uBJpSGIwzZLLRh6</t>
  </si>
  <si>
    <t>https://drive.google.com/uc?export=view&amp;id=1k_Fd_o6wWdoKYQt33uBJpSGIwzZLLRh6</t>
  </si>
  <si>
    <t>20UCL.png</t>
  </si>
  <si>
    <t>1j3ksI9pLAPZSpAwDTp--ohQ4qR006hxD</t>
  </si>
  <si>
    <t>https://drive.google.com/uc?export=view&amp;id=1j3ksI9pLAPZSpAwDTp--ohQ4qR006hxD</t>
  </si>
  <si>
    <t>22UCL.png</t>
  </si>
  <si>
    <t>19A1b6DZpIjHxoQhHga24RBIpmpAoBkyL</t>
  </si>
  <si>
    <t>https://drive.google.com/uc?export=view&amp;id=19A1b6DZpIjHxoQhHga24RBIpmpAoBkyL</t>
  </si>
  <si>
    <t>COC.png</t>
  </si>
  <si>
    <t>1xiHllI3-i9qRLwdrhULUHXX8omJ06h1Y</t>
  </si>
  <si>
    <t>https://drive.google.com/uc?export=view&amp;id=1xiHllI3-i9qRLwdrhULUHXX8omJ06h1Y</t>
  </si>
  <si>
    <t>TB.png</t>
  </si>
  <si>
    <t>19QjD55fosOFRBrtX9PgRtd3wCjtQ1mLX</t>
  </si>
  <si>
    <t>https://drive.google.com/uc?export=view&amp;id=19QjD55fosOFRBrtX9PgRtd3wCjtQ1mLX</t>
  </si>
  <si>
    <t>CC.png</t>
  </si>
  <si>
    <t>1gWuEmDzEmRTKkcYxvUyUXt0H_Z8q_-dT</t>
  </si>
  <si>
    <t>https://drive.google.com/uc?export=view&amp;id=1gWuEmDzEmRTKkcYxvUyUXt0H_Z8q_-dT</t>
  </si>
  <si>
    <t>RMCF.png</t>
  </si>
  <si>
    <t>1a-YY3_xeYzTOrDqT-ufQcbHSeuCA9Euh</t>
  </si>
  <si>
    <t>https://drive.google.com/uc?export=view&amp;id=1a-YY3_xeYzTOrDqT-ufQcbHSeuCA9Euh</t>
  </si>
  <si>
    <t>LOL.png</t>
  </si>
  <si>
    <t>1E-gfET25GVvMhg8iIJ9naoVHhLVLhKn-</t>
  </si>
  <si>
    <t>https://drive.google.com/uc?export=view&amp;id=1E-gfET25GVvMhg8iIJ9naoVHhLVLhKn-</t>
  </si>
  <si>
    <t>1yUkqXnSu2moH3YpMzpAMagq-DjbJlRMq</t>
  </si>
  <si>
    <t>https://drive.google.com/uc?export=view&amp;id=1yUkqXnSu2moH3YpMzpAMagq-DjbJlRMq</t>
  </si>
  <si>
    <t>MC.png</t>
  </si>
  <si>
    <t>15qkpHnfSkx78QcGICZqCLyAD_82igFx6</t>
  </si>
  <si>
    <t>https://drive.google.com/uc?export=view&amp;id=15qkpHnfSkx78QcGICZqCLyAD_82igFx6</t>
  </si>
  <si>
    <t>BOE21.png</t>
  </si>
  <si>
    <t>1pZPnuOIY0rvTM3j9KrgGyOusu-bbmKLC</t>
  </si>
  <si>
    <t>https://drive.google.com/uc?export=view&amp;id=1pZPnuOIY0rvTM3j9KrgGyOusu-bbmKLC</t>
  </si>
  <si>
    <t>MOG.png</t>
  </si>
  <si>
    <t>1W3ZZ2VeiYBilrojMe5OaZ2vH-bZQj4xi</t>
  </si>
  <si>
    <t>https://drive.google.com/uc?export=view&amp;id=1W3ZZ2VeiYBilrojMe5OaZ2vH-bZQj4xi</t>
  </si>
  <si>
    <t>LH.png</t>
  </si>
  <si>
    <t>1W7xjZL_xS7g52-kk_T_CL03Xd6Vq9wXg</t>
  </si>
  <si>
    <t>https://drive.google.com/uc?export=view&amp;id=1W7xjZL_xS7g52-kk_T_CL03Xd6Vq9wXg</t>
  </si>
  <si>
    <t>GR.png</t>
  </si>
  <si>
    <t>1xv612bU05HIsg9wezZYONEmBfZtDDeRr</t>
  </si>
  <si>
    <t>https://drive.google.com/uc?export=view&amp;id=1xv612bU05HIsg9wezZYONEmBfZtDDeRr</t>
  </si>
  <si>
    <t>21UCL.png</t>
  </si>
  <si>
    <t>1yggyy7d5BeBsPedzgFX2vUmlZLZqnSCC</t>
  </si>
  <si>
    <t>https://drive.google.com/uc?export=view&amp;id=1yggyy7d5BeBsPedzgFX2vUmlZLZqnSCC</t>
  </si>
  <si>
    <t>BLD.png</t>
  </si>
  <si>
    <t>1_FO5OSTBkVxFHmdpi3p5wMMzDeKe6EKd</t>
  </si>
  <si>
    <t>https://drive.google.com/uc?export=view&amp;id=1_FO5OSTBkVxFHmdpi3p5wMMzDeKe6EKd</t>
  </si>
  <si>
    <t>13zP0x8QMMB1NYkh4LMupEFj9N43C5Oox</t>
  </si>
  <si>
    <t>https://drive.google.com/uc?export=view&amp;id=13zP0x8QMMB1NYkh4LMupEFj9N43C5Oox</t>
  </si>
  <si>
    <t>25LIVE.png</t>
  </si>
  <si>
    <t>1fd567ujdVY-SPBTqCnK9t9UXBow_KP7-</t>
  </si>
  <si>
    <t>https://drive.google.com/uc?export=view&amp;id=1fd567ujdVY-SPBTqCnK9t9UXBow_KP7-</t>
  </si>
  <si>
    <t>25UCL.png</t>
  </si>
  <si>
    <t>1i2bC49GdOa8qPEiMFzin8iU18LkB38TM</t>
  </si>
  <si>
    <t>https://drive.google.com/uc?export=view&amp;id=1i2bC49GdOa8qPEiMFzin8iU18LkB38TM</t>
  </si>
  <si>
    <t>BDO.png</t>
  </si>
  <si>
    <t>1-hNeBC3UuO0D34rdZHZUDel6ENfDUcE_</t>
  </si>
  <si>
    <t>https://drive.google.com/uc?export=view&amp;id=1-hNeBC3UuO0D34rdZHZUDel6ENfDUcE_</t>
  </si>
  <si>
    <t>LE.png</t>
  </si>
  <si>
    <t>1Il7pBkNbCiM6-iAUAwnoOK9G7yGj6uws</t>
  </si>
  <si>
    <t>https://drive.google.com/uc?export=view&amp;id=1Il7pBkNbCiM6-iAUAwnoOK9G7yGj6uws</t>
  </si>
  <si>
    <t>EBS.png</t>
  </si>
  <si>
    <t>1pgAWiXukmKFcLUEO4Yb0vrTZe1XIQqDP</t>
  </si>
  <si>
    <t>https://drive.google.com/uc?export=view&amp;id=1pgAWiXukmKFcLUEO4Yb0vrTZe1XIQqDP</t>
  </si>
  <si>
    <t>GRU.png</t>
  </si>
  <si>
    <t>1HFou7HumSP67DoS8IhbAHTLuf8QHyULM</t>
  </si>
  <si>
    <t>https://drive.google.com/uc?export=view&amp;id=1HFou7HumSP67DoS8IhbAHTLuf8QHyULM</t>
  </si>
  <si>
    <t>WC22.png</t>
  </si>
  <si>
    <t>10yhkzWBiZWs6GvNHjpq-KEtc1aT9X-x4</t>
  </si>
  <si>
    <t>https://drive.google.com/uc?export=view&amp;id=10yhkzWBiZWs6GvNHjpq-KEtc1aT9X-x4</t>
  </si>
  <si>
    <t>24EP.png</t>
  </si>
  <si>
    <t>1IDhWKFfGYXjIl8QOdtCmc2tlv8aBJ8P3</t>
  </si>
  <si>
    <t>https://drive.google.com/uc?export=view&amp;id=1IDhWKFfGYXjIl8QOdtCmc2tlv8aBJ8P3</t>
  </si>
  <si>
    <t>CU.png</t>
  </si>
  <si>
    <t>1eei_1_0H_hmD9qF-OM3F3g-h50djLHaO</t>
  </si>
  <si>
    <t>https://drive.google.com/uc?export=view&amp;id=1eei_1_0H_hmD9qF-OM3F3g-h50djLHaO</t>
  </si>
  <si>
    <t>RTN.png</t>
  </si>
  <si>
    <t>1K8cX7sWLHqQbu_ua1eR8uL_VGoz6ieGy</t>
  </si>
  <si>
    <t>https://drive.google.com/uc?export=view&amp;id=1K8cX7sWLHqQbu_ua1eR8uL_VGoz6ieGy</t>
  </si>
  <si>
    <t>24UCL.png</t>
  </si>
  <si>
    <t>1UwgDHN1AkYbIVGsdbiifegCaRUigbrfX</t>
  </si>
  <si>
    <t>https://drive.google.com/uc?export=view&amp;id=1UwgDHN1AkYbIVGsdbiifegCaRUigbrfX</t>
  </si>
  <si>
    <t>25KB.png</t>
  </si>
  <si>
    <t>126eeJZ1WAbAvoa1-OgyxtRjtETUbhxAi</t>
  </si>
  <si>
    <t>https://drive.google.com/uc?export=view&amp;id=126eeJZ1WAbAvoa1-OgyxtRjtETUbhxAi</t>
  </si>
  <si>
    <t>DCB.png</t>
  </si>
  <si>
    <t>1fRqUdNOoRwXd4LlAMMlxO60bvYolHhwc</t>
  </si>
  <si>
    <t>https://drive.google.com/uc?export=view&amp;id=1fRqUdNOoRwXd4LlAMMlxO60bvYolHhwc</t>
  </si>
  <si>
    <t>25DP.png</t>
  </si>
  <si>
    <t>1slS4Bu6OadNkupFZCOxer5FCmKI03H39</t>
  </si>
  <si>
    <t>https://drive.google.com/uc?export=view&amp;id=1slS4Bu6OadNkupFZCOxer5FCmKI03H39</t>
  </si>
  <si>
    <t>CH.png</t>
  </si>
  <si>
    <t>1MpJI6kcdNSsCzAhGgmq8J54ChAbDOn8T</t>
  </si>
  <si>
    <t>https://drive.google.com/uc?export=view&amp;id=1MpJI6kcdNSsCzAhGgmq8J54ChAbDOn8T</t>
  </si>
  <si>
    <t>FAC.png</t>
  </si>
  <si>
    <t>1G0TkXg__QUmeJ3_jylUG2Vr-vfq0UXOl</t>
  </si>
  <si>
    <t>https://drive.google.com/uc?export=view&amp;id=1G0TkXg__QUmeJ3_jylUG2Vr-vfq0UXOl</t>
  </si>
  <si>
    <t>WS.png</t>
  </si>
  <si>
    <t>1I6hRoM4xeTu-AEn2uQjH1wuxWv7G4NRG</t>
  </si>
  <si>
    <t>https://drive.google.com/uc?export=view&amp;id=1I6hRoM4xeTu-AEn2uQjH1wuxWv7G4NRG</t>
  </si>
  <si>
    <t>26TY-N.png</t>
  </si>
  <si>
    <t>1p85NUVvhj1xoUTMFjibOtyNZZUpxWohl</t>
  </si>
  <si>
    <t>https://drive.google.com/uc?export=view&amp;id=1p85NUVvhj1xoUTMFjibOtyNZZUpxWohl</t>
  </si>
  <si>
    <t>26TY.png</t>
  </si>
  <si>
    <t>1Oo7spCoBHe40EUe4bJHWccjWmqMy71eG</t>
  </si>
  <si>
    <t>https://drive.google.com/uc?export=view&amp;id=1Oo7spCoBHe40EUe4bJHWccjWmqMy71eG</t>
  </si>
  <si>
    <t>TM.png</t>
  </si>
  <si>
    <t>1VY0ud6HOKGmOAFujW7kfZqaSbjc0xAXC</t>
  </si>
  <si>
    <t>https://drive.google.com/uc?export=view&amp;id=1VY0ud6HOKGmOAFujW7kfZqaSbjc0xAXC</t>
  </si>
  <si>
    <t>25TS.png</t>
  </si>
  <si>
    <t>1AvOFFwG3EpnlvuMG8ynnFbgoiTvsngiK</t>
  </si>
  <si>
    <t>https://drive.google.com/uc?export=view&amp;id=1AvOFFwG3EpnlvuMG8ynnFbgoiTvsngiK</t>
  </si>
  <si>
    <t>JVA.png</t>
  </si>
  <si>
    <t>1WCaGeLXsuINqeM5m3BESIxExI38dXBLX</t>
  </si>
  <si>
    <t>https://drive.google.com/uc?export=view&amp;id=1WCaGeLXsuINqeM5m3BESIxExI38dXBLX</t>
  </si>
  <si>
    <t>강화단계</t>
    <phoneticPr fontId="3" type="noConversion"/>
  </si>
  <si>
    <t>13.png</t>
  </si>
  <si>
    <t>1j2n68ViiSkHmWIfIxjD6rMULXSIgJiu5</t>
  </si>
  <si>
    <t>https://drive.google.com/uc?export=view&amp;id=1j2n68ViiSkHmWIfIxjD6rMULXSIgJiu5</t>
  </si>
  <si>
    <t>12.png</t>
  </si>
  <si>
    <t>1Kg8VfFFutotCAcuoEpMW1ODHXYNt0OXI</t>
  </si>
  <si>
    <t>https://drive.google.com/uc?export=view&amp;id=1Kg8VfFFutotCAcuoEpMW1ODHXYNt0OXI</t>
  </si>
  <si>
    <t>11.png</t>
  </si>
  <si>
    <t>15hZFMkzryYozJbT19cQ6CF7Mimvr19EJ</t>
  </si>
  <si>
    <t>https://drive.google.com/uc?export=view&amp;id=15hZFMkzryYozJbT19cQ6CF7Mimvr19EJ</t>
  </si>
  <si>
    <t>10.png</t>
  </si>
  <si>
    <t>1a7A7bY1__lJjF-NQUlaSmN1sJ4Pr2xjl</t>
  </si>
  <si>
    <t>https://drive.google.com/uc?export=view&amp;id=1a7A7bY1__lJjF-NQUlaSmN1sJ4Pr2xjl</t>
  </si>
  <si>
    <t>9.png</t>
  </si>
  <si>
    <t>1kq8geM4lHA7HOdjB8PoAT6TMZO-hrPC-</t>
  </si>
  <si>
    <t>https://drive.google.com/uc?export=view&amp;id=1kq8geM4lHA7HOdjB8PoAT6TMZO-hrPC-</t>
  </si>
  <si>
    <t>8.png</t>
  </si>
  <si>
    <t>10q-MUKaBCpEekhCqJRMZLeb9nA633jim</t>
  </si>
  <si>
    <t>https://drive.google.com/uc?export=view&amp;id=10q-MUKaBCpEekhCqJRMZLeb9nA633jim</t>
  </si>
  <si>
    <t>7.png</t>
  </si>
  <si>
    <t>1mOb3C6uEV5uD1FZkUOL3hEx0bKAekDNY</t>
  </si>
  <si>
    <t>https://drive.google.com/uc?export=view&amp;id=1mOb3C6uEV5uD1FZkUOL3hEx0bKAekDNY</t>
  </si>
  <si>
    <t>6.png</t>
  </si>
  <si>
    <t>1ZX_tvCHLbGbGBQ7fik4UJa3Jsf8eiUzw</t>
  </si>
  <si>
    <t>https://drive.google.com/uc?export=view&amp;id=1ZX_tvCHLbGbGBQ7fik4UJa3Jsf8eiUzw</t>
  </si>
  <si>
    <t>5.png</t>
  </si>
  <si>
    <t>16c9kuAVT7nf9iHvuuig0axH07JYOnjrs</t>
  </si>
  <si>
    <t>https://drive.google.com/uc?export=view&amp;id=16c9kuAVT7nf9iHvuuig0axH07JYOnjrs</t>
  </si>
  <si>
    <t>4.png</t>
  </si>
  <si>
    <t>1WOQDFOZsqrND3YKk2I7opm2RWvcoW3BQ</t>
  </si>
  <si>
    <t>https://drive.google.com/uc?export=view&amp;id=1WOQDFOZsqrND3YKk2I7opm2RWvcoW3BQ</t>
  </si>
  <si>
    <t>3.png</t>
  </si>
  <si>
    <t>1SCXd2w-DZDwgKeaim3kdp6OJx1RmPLBe</t>
  </si>
  <si>
    <t>https://drive.google.com/uc?export=view&amp;id=1SCXd2w-DZDwgKeaim3kdp6OJx1RmPLBe</t>
  </si>
  <si>
    <t>2.png</t>
  </si>
  <si>
    <t>1vKIxZuHYSAOroQtgcYupTxuTkpCkC-ax</t>
  </si>
  <si>
    <t>https://drive.google.com/uc?export=view&amp;id=1vKIxZuHYSAOroQtgcYupTxuTkpCkC-ax</t>
  </si>
  <si>
    <t>1.png</t>
  </si>
  <si>
    <t>1YePAkof6PzlJ5xJdGtjcXFvpB8cLVaS9</t>
  </si>
  <si>
    <t>https://drive.google.com/uc?export=view&amp;id=1YePAkof6PzlJ5xJdGtjcXFvpB8cLVaS9</t>
  </si>
  <si>
    <t>19PL.png</t>
  </si>
  <si>
    <t>19TS.png</t>
  </si>
  <si>
    <t>20PL.png</t>
  </si>
  <si>
    <t>20TS.png</t>
  </si>
  <si>
    <t>21PL.png</t>
  </si>
  <si>
    <t>21TY-N.png</t>
  </si>
  <si>
    <t>22PL.png</t>
  </si>
  <si>
    <t>17LIVE.png</t>
  </si>
  <si>
    <t>1aRtkGRvTZ9RUaaMUpmBXsV6RCrOXtAx9</t>
  </si>
  <si>
    <t>23PL.png</t>
  </si>
  <si>
    <t>24KB.png</t>
  </si>
  <si>
    <t>18LIVE.png</t>
  </si>
  <si>
    <t>1f2EqI_elTl1wPsbaOG2D9y3sebF3LmAH</t>
  </si>
  <si>
    <t>24PL.png</t>
  </si>
  <si>
    <t>19LIVE.png</t>
  </si>
  <si>
    <t>1tvJKyC4K65-CurFVl6QWalMYVojDLHuO</t>
  </si>
  <si>
    <t>25PL.png</t>
  </si>
  <si>
    <t>25TY-N.png</t>
  </si>
  <si>
    <t>25TY.png</t>
  </si>
  <si>
    <t>20LIVE.png</t>
  </si>
  <si>
    <t>1l4xxQwNtYADLG7Okp0bSbzkklWKE1ZCJ</t>
  </si>
  <si>
    <t>21LIVE.png</t>
  </si>
  <si>
    <t>15e_-1nseUA6wKiDCDrzrslGJoLNm4Pb_</t>
  </si>
  <si>
    <t>LKI.png</t>
  </si>
  <si>
    <t>1_xtyHkS6Crhf9rLHwSE7K8RL2QwblCts</t>
  </si>
  <si>
    <t>22LIVE.png</t>
  </si>
  <si>
    <t>1UXSMYQJXafNNmbQPnGPkxR1iuWkDwgy3</t>
  </si>
  <si>
    <t>18PL.png</t>
  </si>
  <si>
    <t>1m4QLUE-xk8_70Akj8l0vbW9BkUJnU0Tx</t>
  </si>
  <si>
    <t>21KB.png</t>
  </si>
  <si>
    <t>17DrX9BSKcmpd18RO57J_Uu0lrOLpyg12</t>
  </si>
  <si>
    <t>23KB.png</t>
  </si>
  <si>
    <t>17aGlHfOBwmrM2FBdB9MVLe3K6-U4m7EG</t>
  </si>
  <si>
    <t>20KL.png</t>
  </si>
  <si>
    <t>1AjzZjyKB-QUeOp-cUap7MPOvotywlzUS</t>
  </si>
  <si>
    <t>20KB.png</t>
  </si>
  <si>
    <t>1GIerqMqSPHuDaM6h8q7C51g02V-X0Efe</t>
  </si>
  <si>
    <t>22KB.png</t>
  </si>
  <si>
    <t>1OaoMyH6EwXhJCOX_KE5z5MyJCQcDlcq-</t>
  </si>
  <si>
    <t>18KFA.png</t>
  </si>
  <si>
    <t>17GH1E2ffRq67jNbhhVnYebYObTA1OjJ1</t>
  </si>
  <si>
    <t>21KL.png</t>
  </si>
  <si>
    <t>1Gx5esleRSwHwROneWPqn76ggcbOV0UrL</t>
  </si>
  <si>
    <t>TKL.png</t>
  </si>
  <si>
    <t>1Hkq9RdfMBfhwMLb2PottWTylwamx2Udk</t>
  </si>
  <si>
    <t>24KL.png</t>
  </si>
  <si>
    <t>1Z0luZfIQ85JQs94rELqn8CsNCaBJ5YOu</t>
  </si>
  <si>
    <t>23KFA.png</t>
  </si>
  <si>
    <t>1h-ajwuGqXdjPyAyKyjgCErVArItMt1GH</t>
  </si>
  <si>
    <t>21KFA.png</t>
  </si>
  <si>
    <t>1ixYEBlDi-41dfktZm54hBknPY4M76ohz</t>
  </si>
  <si>
    <t>19KFA.png</t>
  </si>
  <si>
    <t>1lsWH_VgOZ79m9V3pgqPAvKB4FQ48MGhW</t>
  </si>
  <si>
    <t>23KL.png</t>
  </si>
  <si>
    <t>1mqrAmEzfd3T4o6lK2bFDEgQRp3UsO8-L</t>
  </si>
  <si>
    <t>22KL.png</t>
  </si>
  <si>
    <t>1pcjx3RVG5BE3Nx8VrlzmmL0RhvyNOxnF</t>
  </si>
  <si>
    <t>25KL.png</t>
  </si>
  <si>
    <t>1qig7stoYJznEn_gpEw4grxZt_0slxeKm</t>
  </si>
  <si>
    <t>2012KH.png</t>
  </si>
  <si>
    <t>1spnecraqtHIeyk_ORZFF4Wt6yLC2qA_I</t>
  </si>
  <si>
    <t>22KFA.png</t>
  </si>
  <si>
    <t>1wTKRNnr_7_2dLdwRSOHSpBYgxZ8ytZgh</t>
  </si>
  <si>
    <t>TKI.png</t>
  </si>
  <si>
    <t>1xDQZJvXQaRJryqnB5Q4iC49qAD9AI-Q7</t>
  </si>
  <si>
    <t>23TS.png</t>
  </si>
  <si>
    <t>1lpWnc5DkQetevLIbOhlG8roMV8vOHn2V</t>
  </si>
  <si>
    <t>22TS.png</t>
  </si>
  <si>
    <t>1o6psenMkz8QOTbDm330TedI12bdoAVzq</t>
  </si>
  <si>
    <t>24TS.png</t>
  </si>
  <si>
    <t>1pLEg1mBVXD_hsqx_oQDQ4rhCKDezHx0l</t>
  </si>
  <si>
    <t>21TS.png</t>
  </si>
  <si>
    <t>1wZ35WYuQnv_4XgpbknP0V-DfVViNroDy</t>
  </si>
  <si>
    <t>20TY.png</t>
  </si>
  <si>
    <t>11MJMRz4b4kYKoX4KQK2z3n3vq_4c7PPR</t>
  </si>
  <si>
    <t>24TY-N.png</t>
  </si>
  <si>
    <t>11g208LBqEps25N0MoxShSs2b8kVQxXYr</t>
  </si>
  <si>
    <t>21TY.png</t>
  </si>
  <si>
    <t>1BSLDSSpDCbo5UDTi8-esEeNNkJ_ezFnp</t>
  </si>
  <si>
    <t>19TY.png</t>
  </si>
  <si>
    <t>1DeWGBWiKjg5GpmDnCzsLsBoYnHOTdX4g</t>
  </si>
  <si>
    <t>23TY.png</t>
  </si>
  <si>
    <t>1FZ0PqY9QUdVsWos9zDoZeX7-iudIQOjw</t>
  </si>
  <si>
    <t>24TY.png</t>
  </si>
  <si>
    <t>1KIMkXyBoxn88UEZ1nizT7MCKOXZzoNC_</t>
  </si>
  <si>
    <t>22TY-N.png</t>
  </si>
  <si>
    <t>1Xf0MyVeyiNgWlUTUo-ufl1pwvRbSRz-l</t>
  </si>
  <si>
    <t>18TY.png</t>
  </si>
  <si>
    <t>1bUBcqvFSd_0yERtDOpVNc2PC9JQyQHYO</t>
  </si>
  <si>
    <t>23TY-N.png</t>
  </si>
  <si>
    <t>1dzzRrPxux8kDrN5F6aZDRYDf7yV8bn-e</t>
  </si>
  <si>
    <t>22TY.png</t>
  </si>
  <si>
    <t>1k_hagYm_23JgF0HurN6ufKbTvKV2bU4p</t>
  </si>
  <si>
    <t>20TY-N.png</t>
  </si>
  <si>
    <t>1lhFzerN1fzMgRpYwOGKnAr1vdWaKCLUZ</t>
  </si>
  <si>
    <t>MCI.png</t>
  </si>
  <si>
    <t>10kerOxkYDyJ-yY6EA5eFb4bxUPvr3v0A</t>
  </si>
  <si>
    <t>21NG.png</t>
  </si>
  <si>
    <t>14Eq7GdJxjyummYbkNxOLFvC5mWxyCyA0</t>
  </si>
  <si>
    <t>20NG.png</t>
  </si>
  <si>
    <t>16Dcx1gL4WWCfoLcLFNHak_LkO7NvGTuC</t>
  </si>
  <si>
    <t>22NG.png</t>
  </si>
  <si>
    <t>1ZLA5sl8Yee6dtLNH3vdIRz9rY2Bhgr4e</t>
  </si>
  <si>
    <t>LIVA.png</t>
  </si>
  <si>
    <t>1ZYH73-tpsdG8bX8f_tYyg_5A8jbb2bf3</t>
  </si>
  <si>
    <t>CFA.png</t>
  </si>
  <si>
    <t>1megZYr51G4cl9QX8pme-ECg0D8s-wlj8</t>
  </si>
  <si>
    <t>19NG.png</t>
  </si>
  <si>
    <t>1r457C5zXnFGgm37miLC8sKXdTypNhfCm</t>
  </si>
  <si>
    <t>24HR.png</t>
  </si>
  <si>
    <t>1E0chXqJD-kb-WsKoWS5W57HbEnKiZI7o</t>
  </si>
  <si>
    <t>NTG.png</t>
  </si>
  <si>
    <t>1_yb0E4VijTaCDJIk7YNTNe8iZ-TTq6nB</t>
  </si>
  <si>
    <t>23HR.png</t>
  </si>
  <si>
    <t>1jfl5baoVUs5s1pTgXuSYNo--HYIyIp2O</t>
  </si>
  <si>
    <t>22HR.png</t>
  </si>
  <si>
    <t>1lpv9onkZIHEreuAg2dRi5Fn_zPHHM7Jn</t>
  </si>
  <si>
    <t>FCA.png</t>
  </si>
  <si>
    <t>1AKw1u48cp3BvDazNfWw0B_Lf39RJs84t</t>
  </si>
  <si>
    <t>SPL.png</t>
  </si>
  <si>
    <t>1sTJEDgWtJaal5i-QKhuoLGMmqUflHL6V</t>
  </si>
  <si>
    <t>JNM.png</t>
  </si>
  <si>
    <t>1udq6L7DN8Lk8k-L5BIAfRuF66KYjq9Uo</t>
  </si>
  <si>
    <t>HRT.png</t>
  </si>
  <si>
    <t>15KyzOil9NN-k501yUh3rclZlbaXuhk3B</t>
  </si>
  <si>
    <t>ICONMATCH.png</t>
  </si>
  <si>
    <t>1NJxiuQubSxNYvJO6eVXPuVhhcd9z5xy8</t>
  </si>
  <si>
    <t>TM(제한).png</t>
  </si>
  <si>
    <t>1TA7yf_5-ZrtAsjJZ-GSTZqA_cEKPNKdv</t>
  </si>
  <si>
    <t>25IM.png</t>
  </si>
  <si>
    <t>1cnC5AL76mc_rpzKMZXg-I0gpQWj_JuP4</t>
  </si>
  <si>
    <t>-</t>
    <phoneticPr fontId="1" type="noConversion"/>
  </si>
  <si>
    <t>WG.png</t>
    <phoneticPr fontId="1" type="noConversion"/>
  </si>
  <si>
    <t>KHD.png</t>
    <phoneticPr fontId="1" type="noConversion"/>
  </si>
  <si>
    <t>173br7t7sdSSCwM1GlbaAh9hVHZFoAu85</t>
  </si>
  <si>
    <t>1LgWsyjE_TN_v8mEj6EnvLbTVaVuu7lQ2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</si>
</sst>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General&quot; cm&quot;"/>
    <numFmt numFmtId="177" formatCode="General\ &quot;픽&quot;&quot;셀&quot;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</font>
    <font>
      <sz val="8"/>
      <name val="돋움체"/>
      <family val="3"/>
      <charset val="129"/>
    </font>
    <font>
      <b/>
      <sz val="11"/>
      <color rgb="FF000000"/>
      <name val="맑은 고딕"/>
      <family val="2"/>
      <charset val="129"/>
    </font>
    <font>
      <sz val="8"/>
      <color rgb="FF000000"/>
      <name val="맑은 고딕"/>
      <family val="2"/>
      <charset val="129"/>
    </font>
    <font>
      <sz val="11"/>
      <color theme="0"/>
      <name val="맑은 고딕"/>
      <family val="2"/>
      <charset val="129"/>
    </font>
    <font>
      <sz val="11"/>
      <color theme="0"/>
      <name val="맑은 고딕"/>
      <family val="2"/>
    </font>
    <font>
      <b/>
      <sz val="11"/>
      <color theme="0"/>
      <name val="맑은 고딕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1">
      <alignment vertical="center"/>
    </xf>
    <xf numFmtId="176" fontId="2" fillId="0" borderId="0" xfId="1" applyNumberFormat="1">
      <alignment vertical="center"/>
    </xf>
    <xf numFmtId="177" fontId="2" fillId="0" borderId="0" xfId="1" applyNumberFormat="1">
      <alignment vertical="center"/>
    </xf>
    <xf numFmtId="0" fontId="2" fillId="0" borderId="0" xfId="1" applyAlignment="1">
      <alignment horizontal="center" vertical="center"/>
    </xf>
    <xf numFmtId="0" fontId="2" fillId="0" borderId="1" xfId="1" applyBorder="1">
      <alignment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5" fillId="0" borderId="1" xfId="1" applyFont="1" applyBorder="1">
      <alignment vertical="center"/>
    </xf>
    <xf numFmtId="0" fontId="6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3" xfId="1" applyFont="1" applyBorder="1">
      <alignment vertical="center"/>
    </xf>
    <xf numFmtId="0" fontId="8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</cellXfs>
  <cellStyles count="2">
    <cellStyle name="표준" xfId="0" builtinId="0"/>
    <cellStyle name="표준 2" xfId="1" xr:uid="{DB4324CB-07F4-4A71-B5DF-8B4001460BB0}"/>
  </cellStyles>
  <dxfs count="20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2"/>
        <charset val="129"/>
        <scheme val="none"/>
      </font>
    </dxf>
    <dxf>
      <numFmt numFmtId="0" formatCode="General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rgb="FF000000"/>
        <name val="맑은 고딕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rgb="FF000000"/>
        <name val="맑은 고딕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맑은 고딕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63BE7B"/>
      <color rgb="FFB7E0C3"/>
      <color rgb="FFFBDCDE"/>
      <color rgb="FFF9A8A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0/07/relationships/rdRichValueWebImage" Target="richData/rdRichValueWebImage.xml"/></Relationships>
</file>

<file path=xl/richData/_rels/rdRichValueWebImage.xml.rels><?xml version="1.0" encoding="UTF-8" standalone="yes"?>
<Relationships xmlns="http://schemas.openxmlformats.org/package/2006/relationships"><Relationship Id="rId117" Type="http://schemas.openxmlformats.org/officeDocument/2006/relationships/hyperlink" Target="https://lh3.googleusercontent.com/d/1wUUWK8JBAZtR_X-jAFZ8ouO9PDmRfvyM" TargetMode="External"/><Relationship Id="rId299" Type="http://schemas.openxmlformats.org/officeDocument/2006/relationships/hyperlink" Target="https://lh3.googleusercontent.com/d/1qbVXpWySzYBuTOlsS_Ua3qn8r0uPt_WF" TargetMode="External"/><Relationship Id="rId21" Type="http://schemas.openxmlformats.org/officeDocument/2006/relationships/hyperlink" Target="https://lh3.googleusercontent.com/d/1yggyy7d5BeBsPedzgFX2vUmlZLZqnSCC" TargetMode="External"/><Relationship Id="rId63" Type="http://schemas.openxmlformats.org/officeDocument/2006/relationships/hyperlink" Target="https://lh3.googleusercontent.com/d/1AvOFFwG3EpnlvuMG8ynnFbgoiTvsngiK" TargetMode="External"/><Relationship Id="rId159" Type="http://schemas.openxmlformats.org/officeDocument/2006/relationships/hyperlink" Target="https://lh3.googleusercontent.com/d/10yhkzWBiZWs6GvNHjpq-KEtc1aT9X-x4" TargetMode="External"/><Relationship Id="rId324" Type="http://schemas.openxmlformats.org/officeDocument/2006/relationships/image" Target="../media/image162.png"/><Relationship Id="rId170" Type="http://schemas.openxmlformats.org/officeDocument/2006/relationships/image" Target="../media/image85.png"/><Relationship Id="rId226" Type="http://schemas.openxmlformats.org/officeDocument/2006/relationships/image" Target="../media/image113.png"/><Relationship Id="rId268" Type="http://schemas.openxmlformats.org/officeDocument/2006/relationships/image" Target="../media/image134.png"/><Relationship Id="rId32" Type="http://schemas.openxmlformats.org/officeDocument/2006/relationships/image" Target="../media/image16.png"/><Relationship Id="rId74" Type="http://schemas.openxmlformats.org/officeDocument/2006/relationships/image" Target="../media/image37.png"/><Relationship Id="rId128" Type="http://schemas.openxmlformats.org/officeDocument/2006/relationships/image" Target="../media/image64.png"/><Relationship Id="rId335" Type="http://schemas.openxmlformats.org/officeDocument/2006/relationships/hyperlink" Target="https://lh3.googleusercontent.com/d/1YePAkof6PzlJ5xJdGtjcXFvpB8cLVaS9" TargetMode="External"/><Relationship Id="rId5" Type="http://schemas.openxmlformats.org/officeDocument/2006/relationships/hyperlink" Target="https://lh3.googleusercontent.com/d/1vJcJb7qk9Cv_9zyH8abblJyS3ixI3uQa" TargetMode="External"/><Relationship Id="rId181" Type="http://schemas.openxmlformats.org/officeDocument/2006/relationships/hyperlink" Target="https://lh3.googleusercontent.com/d/17aGlHfOBwmrM2FBdB9MVLe3K6-U4m7EG" TargetMode="External"/><Relationship Id="rId237" Type="http://schemas.openxmlformats.org/officeDocument/2006/relationships/hyperlink" Target="https://lh3.googleusercontent.com/d/1bUBcqvFSd_0yERtDOpVNc2PC9JQyQHYO" TargetMode="External"/><Relationship Id="rId279" Type="http://schemas.openxmlformats.org/officeDocument/2006/relationships/hyperlink" Target="https://lh3.googleusercontent.com/d/1cnC5AL76mc_rpzKMZXg-I0gpQWj_JuP4" TargetMode="External"/><Relationship Id="rId43" Type="http://schemas.openxmlformats.org/officeDocument/2006/relationships/hyperlink" Target="https://lh3.googleusercontent.com/d/1k_Fd_o6wWdoKYQt33uBJpSGIwzZLLRh6" TargetMode="External"/><Relationship Id="rId139" Type="http://schemas.openxmlformats.org/officeDocument/2006/relationships/hyperlink" Target="https://lh3.googleusercontent.com/d/1a-YY3_xeYzTOrDqT-ufQcbHSeuCA9Euh" TargetMode="External"/><Relationship Id="rId290" Type="http://schemas.openxmlformats.org/officeDocument/2006/relationships/image" Target="../media/image145.png"/><Relationship Id="rId304" Type="http://schemas.openxmlformats.org/officeDocument/2006/relationships/image" Target="../media/image152.png"/><Relationship Id="rId85" Type="http://schemas.openxmlformats.org/officeDocument/2006/relationships/hyperlink" Target="https://lh3.googleusercontent.com/d/1gWuEmDzEmRTKkcYxvUyUXt0H_Z8q_-dT" TargetMode="External"/><Relationship Id="rId150" Type="http://schemas.openxmlformats.org/officeDocument/2006/relationships/image" Target="../media/image75.png"/><Relationship Id="rId192" Type="http://schemas.openxmlformats.org/officeDocument/2006/relationships/image" Target="../media/image96.png"/><Relationship Id="rId206" Type="http://schemas.openxmlformats.org/officeDocument/2006/relationships/image" Target="../media/image103.png"/><Relationship Id="rId248" Type="http://schemas.openxmlformats.org/officeDocument/2006/relationships/image" Target="../media/image124.png"/><Relationship Id="rId12" Type="http://schemas.openxmlformats.org/officeDocument/2006/relationships/image" Target="../media/image6.png"/><Relationship Id="rId108" Type="http://schemas.openxmlformats.org/officeDocument/2006/relationships/image" Target="../media/image54.png"/><Relationship Id="rId315" Type="http://schemas.openxmlformats.org/officeDocument/2006/relationships/hyperlink" Target="https://lh3.googleusercontent.com/d/15hZFMkzryYozJbT19cQ6CF7Mimvr19EJ" TargetMode="External"/><Relationship Id="rId54" Type="http://schemas.openxmlformats.org/officeDocument/2006/relationships/image" Target="../media/image27.png"/><Relationship Id="rId96" Type="http://schemas.openxmlformats.org/officeDocument/2006/relationships/image" Target="../media/image48.png"/><Relationship Id="rId161" Type="http://schemas.openxmlformats.org/officeDocument/2006/relationships/hyperlink" Target="https://lh3.googleusercontent.com/d/1I6hRoM4xeTu-AEn2uQjH1wuxWv7G4NRG" TargetMode="External"/><Relationship Id="rId217" Type="http://schemas.openxmlformats.org/officeDocument/2006/relationships/hyperlink" Target="https://lh3.googleusercontent.com/d/1o6psenMkz8QOTbDm330TedI12bdoAVzq" TargetMode="External"/><Relationship Id="rId259" Type="http://schemas.openxmlformats.org/officeDocument/2006/relationships/hyperlink" Target="https://lh3.googleusercontent.com/d/1E0chXqJD-kb-WsKoWS5W57HbEnKiZI7o" TargetMode="External"/><Relationship Id="rId23" Type="http://schemas.openxmlformats.org/officeDocument/2006/relationships/hyperlink" Target="https://lh3.googleusercontent.com/d/1HguCT0IcWKw7bZ1M-kfiRaH0MXgp36WF" TargetMode="External"/><Relationship Id="rId119" Type="http://schemas.openxmlformats.org/officeDocument/2006/relationships/hyperlink" Target="https://lh3.googleusercontent.com/d/1Il7pBkNbCiM6-iAUAwnoOK9G7yGj6uws" TargetMode="External"/><Relationship Id="rId270" Type="http://schemas.openxmlformats.org/officeDocument/2006/relationships/image" Target="../media/image135.png"/><Relationship Id="rId326" Type="http://schemas.openxmlformats.org/officeDocument/2006/relationships/image" Target="../media/image163.png"/><Relationship Id="rId65" Type="http://schemas.openxmlformats.org/officeDocument/2006/relationships/hyperlink" Target="https://lh3.googleusercontent.com/d/1i2bC49GdOa8qPEiMFzin8iU18LkB38TM" TargetMode="External"/><Relationship Id="rId130" Type="http://schemas.openxmlformats.org/officeDocument/2006/relationships/image" Target="../media/image65.png"/><Relationship Id="rId172" Type="http://schemas.openxmlformats.org/officeDocument/2006/relationships/image" Target="../media/image86.png"/><Relationship Id="rId228" Type="http://schemas.openxmlformats.org/officeDocument/2006/relationships/image" Target="../media/image114.png"/><Relationship Id="rId281" Type="http://schemas.openxmlformats.org/officeDocument/2006/relationships/hyperlink" Target="https://lh3.googleusercontent.com/d/173br7t7sdSSCwM1GlbaAh9hVHZFoAu85" TargetMode="External"/><Relationship Id="rId34" Type="http://schemas.openxmlformats.org/officeDocument/2006/relationships/image" Target="../media/image17.png"/><Relationship Id="rId76" Type="http://schemas.openxmlformats.org/officeDocument/2006/relationships/image" Target="../media/image38.png"/><Relationship Id="rId141" Type="http://schemas.openxmlformats.org/officeDocument/2006/relationships/hyperlink" Target="https://lh3.googleusercontent.com/d/1K8cX7sWLHqQbu_ua1eR8uL_VGoz6ieGy" TargetMode="External"/><Relationship Id="rId7" Type="http://schemas.openxmlformats.org/officeDocument/2006/relationships/hyperlink" Target="https://lh3.googleusercontent.com/d/1HPcQqhJ_GfZsudCwdrbHreWCqS0C5QvR" TargetMode="External"/><Relationship Id="rId183" Type="http://schemas.openxmlformats.org/officeDocument/2006/relationships/hyperlink" Target="https://lh3.googleusercontent.com/d/1AjzZjyKB-QUeOp-cUap7MPOvotywlzUS" TargetMode="External"/><Relationship Id="rId239" Type="http://schemas.openxmlformats.org/officeDocument/2006/relationships/hyperlink" Target="https://lh3.googleusercontent.com/d/1dzzRrPxux8kDrN5F6aZDRYDf7yV8bn-e" TargetMode="External"/><Relationship Id="rId250" Type="http://schemas.openxmlformats.org/officeDocument/2006/relationships/image" Target="../media/image125.png"/><Relationship Id="rId292" Type="http://schemas.openxmlformats.org/officeDocument/2006/relationships/image" Target="../media/image146.png"/><Relationship Id="rId306" Type="http://schemas.openxmlformats.org/officeDocument/2006/relationships/image" Target="../media/image153.png"/><Relationship Id="rId24" Type="http://schemas.openxmlformats.org/officeDocument/2006/relationships/image" Target="../media/image12.png"/><Relationship Id="rId45" Type="http://schemas.openxmlformats.org/officeDocument/2006/relationships/hyperlink" Target="https://lh3.googleusercontent.com/d/1UwgDHN1AkYbIVGsdbiifegCaRUigbrfX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lh3.googleusercontent.com/d/1MpJI6kcdNSsCzAhGgmq8J54ChAbDOn8T" TargetMode="External"/><Relationship Id="rId110" Type="http://schemas.openxmlformats.org/officeDocument/2006/relationships/image" Target="../media/image55.png"/><Relationship Id="rId131" Type="http://schemas.openxmlformats.org/officeDocument/2006/relationships/hyperlink" Target="https://lh3.googleusercontent.com/d/1W3ZZ2VeiYBilrojMe5OaZ2vH-bZQj4xi" TargetMode="External"/><Relationship Id="rId327" Type="http://schemas.openxmlformats.org/officeDocument/2006/relationships/hyperlink" Target="https://lh3.googleusercontent.com/d/16c9kuAVT7nf9iHvuuig0axH07JYOnjrs" TargetMode="External"/><Relationship Id="rId152" Type="http://schemas.openxmlformats.org/officeDocument/2006/relationships/image" Target="../media/image76.png"/><Relationship Id="rId173" Type="http://schemas.openxmlformats.org/officeDocument/2006/relationships/hyperlink" Target="https://lh3.googleusercontent.com/d/1ILivnbOVDjJcsuKhCouVq11GHWd3pmeM" TargetMode="External"/><Relationship Id="rId194" Type="http://schemas.openxmlformats.org/officeDocument/2006/relationships/image" Target="../media/image97.png"/><Relationship Id="rId208" Type="http://schemas.openxmlformats.org/officeDocument/2006/relationships/image" Target="../media/image104.png"/><Relationship Id="rId229" Type="http://schemas.openxmlformats.org/officeDocument/2006/relationships/hyperlink" Target="https://lh3.googleusercontent.com/d/1DeWGBWiKjg5GpmDnCzsLsBoYnHOTdX4g" TargetMode="External"/><Relationship Id="rId240" Type="http://schemas.openxmlformats.org/officeDocument/2006/relationships/image" Target="../media/image120.png"/><Relationship Id="rId261" Type="http://schemas.openxmlformats.org/officeDocument/2006/relationships/hyperlink" Target="https://lh3.googleusercontent.com/d/1_yb0E4VijTaCDJIk7YNTNe8iZ-TTq6nB" TargetMode="External"/><Relationship Id="rId14" Type="http://schemas.openxmlformats.org/officeDocument/2006/relationships/image" Target="../media/image7.png"/><Relationship Id="rId35" Type="http://schemas.openxmlformats.org/officeDocument/2006/relationships/hyperlink" Target="https://lh3.googleusercontent.com/d/13yhA6-1mpZuvrbT1HFcYmfJGGBjejuau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lh3.googleusercontent.com/d/1pZPnuOIY0rvTM3j9KrgGyOusu-bbmKLC" TargetMode="External"/><Relationship Id="rId100" Type="http://schemas.openxmlformats.org/officeDocument/2006/relationships/image" Target="../media/image50.png"/><Relationship Id="rId282" Type="http://schemas.openxmlformats.org/officeDocument/2006/relationships/image" Target="../media/image141.png"/><Relationship Id="rId317" Type="http://schemas.openxmlformats.org/officeDocument/2006/relationships/hyperlink" Target="https://lh3.googleusercontent.com/d/1a7A7bY1__lJjF-NQUlaSmN1sJ4Pr2xjl" TargetMode="External"/><Relationship Id="rId8" Type="http://schemas.openxmlformats.org/officeDocument/2006/relationships/image" Target="../media/image4.png"/><Relationship Id="rId98" Type="http://schemas.openxmlformats.org/officeDocument/2006/relationships/image" Target="../media/image49.png"/><Relationship Id="rId121" Type="http://schemas.openxmlformats.org/officeDocument/2006/relationships/hyperlink" Target="https://lh3.googleusercontent.com/d/1W7xjZL_xS7g52-kk_T_CL03Xd6Vq9wXg" TargetMode="External"/><Relationship Id="rId142" Type="http://schemas.openxmlformats.org/officeDocument/2006/relationships/image" Target="../media/image71.png"/><Relationship Id="rId163" Type="http://schemas.openxmlformats.org/officeDocument/2006/relationships/hyperlink" Target="https://lh3.googleusercontent.com/d/1l4xxQwNtYADLG7Okp0bSbzkklWKE1ZCJ" TargetMode="External"/><Relationship Id="rId184" Type="http://schemas.openxmlformats.org/officeDocument/2006/relationships/image" Target="../media/image92.png"/><Relationship Id="rId219" Type="http://schemas.openxmlformats.org/officeDocument/2006/relationships/hyperlink" Target="https://lh3.googleusercontent.com/d/1pLEg1mBVXD_hsqx_oQDQ4rhCKDezHx0l" TargetMode="External"/><Relationship Id="rId230" Type="http://schemas.openxmlformats.org/officeDocument/2006/relationships/image" Target="../media/image115.png"/><Relationship Id="rId251" Type="http://schemas.openxmlformats.org/officeDocument/2006/relationships/hyperlink" Target="https://lh3.googleusercontent.com/d/1ZLA5sl8Yee6dtLNH3vdIRz9rY2Bhgr4e" TargetMode="External"/><Relationship Id="rId25" Type="http://schemas.openxmlformats.org/officeDocument/2006/relationships/hyperlink" Target="https://lh3.googleusercontent.com/d/19A1b6DZpIjHxoQhHga24RBIpmpAoBkyL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lh3.googleusercontent.com/d/1V3IzWFUCOfsoQd-bmsjHmR3SeVLgJt4W" TargetMode="External"/><Relationship Id="rId272" Type="http://schemas.openxmlformats.org/officeDocument/2006/relationships/image" Target="../media/image136.png"/><Relationship Id="rId293" Type="http://schemas.openxmlformats.org/officeDocument/2006/relationships/hyperlink" Target="https://lh3.googleusercontent.com/d/1xZDwuyNHyhfqCVabUFuBEMuZq66sxW8K" TargetMode="External"/><Relationship Id="rId307" Type="http://schemas.openxmlformats.org/officeDocument/2006/relationships/hyperlink" Target="https://lh3.googleusercontent.com/d/1rzuRajp1_rEGliTWaJ1c0gpG0rRvEg6M" TargetMode="External"/><Relationship Id="rId328" Type="http://schemas.openxmlformats.org/officeDocument/2006/relationships/image" Target="../media/image164.png"/><Relationship Id="rId88" Type="http://schemas.openxmlformats.org/officeDocument/2006/relationships/image" Target="../media/image44.png"/><Relationship Id="rId111" Type="http://schemas.openxmlformats.org/officeDocument/2006/relationships/hyperlink" Target="https://lh3.googleusercontent.com/d/1jK9pn_OPr9rx4JMwomqxqZYFp1Wp5RC1" TargetMode="External"/><Relationship Id="rId132" Type="http://schemas.openxmlformats.org/officeDocument/2006/relationships/image" Target="../media/image66.png"/><Relationship Id="rId153" Type="http://schemas.openxmlformats.org/officeDocument/2006/relationships/hyperlink" Target="https://lh3.googleusercontent.com/d/1eSx1cOb5xCi6g5da8YCiUtQoy1rrSNGk" TargetMode="External"/><Relationship Id="rId174" Type="http://schemas.openxmlformats.org/officeDocument/2006/relationships/image" Target="../media/image87.png"/><Relationship Id="rId195" Type="http://schemas.openxmlformats.org/officeDocument/2006/relationships/hyperlink" Target="https://lh3.googleusercontent.com/d/1Z0luZfIQ85JQs94rELqn8CsNCaBJ5YOu" TargetMode="External"/><Relationship Id="rId209" Type="http://schemas.openxmlformats.org/officeDocument/2006/relationships/hyperlink" Target="https://lh3.googleusercontent.com/d/1spnecraqtHIeyk_ORZFF4Wt6yLC2qA_I" TargetMode="External"/><Relationship Id="rId220" Type="http://schemas.openxmlformats.org/officeDocument/2006/relationships/image" Target="../media/image110.png"/><Relationship Id="rId241" Type="http://schemas.openxmlformats.org/officeDocument/2006/relationships/hyperlink" Target="https://lh3.googleusercontent.com/d/1k_hagYm_23JgF0HurN6ufKbTvKV2bU4p" TargetMode="External"/><Relationship Id="rId15" Type="http://schemas.openxmlformats.org/officeDocument/2006/relationships/hyperlink" Target="https://lh3.googleusercontent.com/d/1j3ksI9pLAPZSpAwDTp--ohQ4qR006hxD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lh3.googleusercontent.com/d/1yUkqXnSu2moH3YpMzpAMagq-DjbJlRMq" TargetMode="External"/><Relationship Id="rId262" Type="http://schemas.openxmlformats.org/officeDocument/2006/relationships/image" Target="../media/image131.png"/><Relationship Id="rId283" Type="http://schemas.openxmlformats.org/officeDocument/2006/relationships/hyperlink" Target="https://lh3.googleusercontent.com/d/1LgWsyjE_TN_v8mEj6EnvLbTVaVuu7lQ2" TargetMode="External"/><Relationship Id="rId318" Type="http://schemas.openxmlformats.org/officeDocument/2006/relationships/image" Target="../media/image159.png"/><Relationship Id="rId78" Type="http://schemas.openxmlformats.org/officeDocument/2006/relationships/image" Target="../media/image39.png"/><Relationship Id="rId99" Type="http://schemas.openxmlformats.org/officeDocument/2006/relationships/hyperlink" Target="https://lh3.googleusercontent.com/d/1q6DTC7UjbHWujxlQMGnooUHZgCOSgoc_" TargetMode="External"/><Relationship Id="rId101" Type="http://schemas.openxmlformats.org/officeDocument/2006/relationships/hyperlink" Target="https://lh3.googleusercontent.com/d/1h6cu9INHU0gI99onqAuO2AoyWzPPmJBN" TargetMode="External"/><Relationship Id="rId122" Type="http://schemas.openxmlformats.org/officeDocument/2006/relationships/image" Target="../media/image61.png"/><Relationship Id="rId143" Type="http://schemas.openxmlformats.org/officeDocument/2006/relationships/hyperlink" Target="https://lh3.googleusercontent.com/d/19QjD55fosOFRBrtX9PgRtd3wCjtQ1mLX" TargetMode="External"/><Relationship Id="rId164" Type="http://schemas.openxmlformats.org/officeDocument/2006/relationships/image" Target="../media/image82.png"/><Relationship Id="rId185" Type="http://schemas.openxmlformats.org/officeDocument/2006/relationships/hyperlink" Target="https://lh3.googleusercontent.com/d/1GIerqMqSPHuDaM6h8q7C51g02V-X0Efe" TargetMode="External"/><Relationship Id="rId9" Type="http://schemas.openxmlformats.org/officeDocument/2006/relationships/hyperlink" Target="https://lh3.googleusercontent.com/d/1tpASOVFFH19yg0BAjumZfpG5ATsplll2" TargetMode="External"/><Relationship Id="rId210" Type="http://schemas.openxmlformats.org/officeDocument/2006/relationships/image" Target="../media/image105.png"/><Relationship Id="rId26" Type="http://schemas.openxmlformats.org/officeDocument/2006/relationships/image" Target="../media/image13.png"/><Relationship Id="rId231" Type="http://schemas.openxmlformats.org/officeDocument/2006/relationships/hyperlink" Target="https://lh3.googleusercontent.com/d/1FZ0PqY9QUdVsWos9zDoZeX7-iudIQOjw" TargetMode="External"/><Relationship Id="rId252" Type="http://schemas.openxmlformats.org/officeDocument/2006/relationships/image" Target="../media/image126.png"/><Relationship Id="rId273" Type="http://schemas.openxmlformats.org/officeDocument/2006/relationships/hyperlink" Target="https://lh3.googleusercontent.com/d/15KyzOil9NN-k501yUh3rclZlbaXuhk3B" TargetMode="External"/><Relationship Id="rId294" Type="http://schemas.openxmlformats.org/officeDocument/2006/relationships/image" Target="../media/image147.png"/><Relationship Id="rId308" Type="http://schemas.openxmlformats.org/officeDocument/2006/relationships/image" Target="../media/image154.png"/><Relationship Id="rId329" Type="http://schemas.openxmlformats.org/officeDocument/2006/relationships/hyperlink" Target="https://lh3.googleusercontent.com/d/1WOQDFOZsqrND3YKk2I7opm2RWvcoW3BQ" TargetMode="External"/><Relationship Id="rId47" Type="http://schemas.openxmlformats.org/officeDocument/2006/relationships/hyperlink" Target="https://lh3.googleusercontent.com/d/1slS4Bu6OadNkupFZCOxer5FCmKI03H39" TargetMode="External"/><Relationship Id="rId68" Type="http://schemas.openxmlformats.org/officeDocument/2006/relationships/image" Target="../media/image34.png"/><Relationship Id="rId89" Type="http://schemas.openxmlformats.org/officeDocument/2006/relationships/hyperlink" Target="https://lh3.googleusercontent.com/d/1xiHllI3-i9qRLwdrhULUHXX8omJ06h1Y" TargetMode="External"/><Relationship Id="rId112" Type="http://schemas.openxmlformats.org/officeDocument/2006/relationships/image" Target="../media/image56.png"/><Relationship Id="rId133" Type="http://schemas.openxmlformats.org/officeDocument/2006/relationships/hyperlink" Target="https://lh3.googleusercontent.com/d/17HPBRgCgLBlz4xdaC6fE0Opr-x8YfDJW" TargetMode="External"/><Relationship Id="rId154" Type="http://schemas.openxmlformats.org/officeDocument/2006/relationships/image" Target="../media/image77.png"/><Relationship Id="rId175" Type="http://schemas.openxmlformats.org/officeDocument/2006/relationships/hyperlink" Target="https://lh3.googleusercontent.com/d/1m4QLUE-xk8_70Akj8l0vbW9BkUJnU0Tx" TargetMode="External"/><Relationship Id="rId196" Type="http://schemas.openxmlformats.org/officeDocument/2006/relationships/image" Target="../media/image98.png"/><Relationship Id="rId200" Type="http://schemas.openxmlformats.org/officeDocument/2006/relationships/image" Target="../media/image100.png"/><Relationship Id="rId16" Type="http://schemas.openxmlformats.org/officeDocument/2006/relationships/image" Target="../media/image8.png"/><Relationship Id="rId221" Type="http://schemas.openxmlformats.org/officeDocument/2006/relationships/hyperlink" Target="https://lh3.googleusercontent.com/d/1wZ35WYuQnv_4XgpbknP0V-DfVViNroDy" TargetMode="External"/><Relationship Id="rId242" Type="http://schemas.openxmlformats.org/officeDocument/2006/relationships/image" Target="../media/image121.png"/><Relationship Id="rId263" Type="http://schemas.openxmlformats.org/officeDocument/2006/relationships/hyperlink" Target="https://lh3.googleusercontent.com/d/1jfl5baoVUs5s1pTgXuSYNo--HYIyIp2O" TargetMode="External"/><Relationship Id="rId284" Type="http://schemas.openxmlformats.org/officeDocument/2006/relationships/image" Target="../media/image142.png"/><Relationship Id="rId319" Type="http://schemas.openxmlformats.org/officeDocument/2006/relationships/hyperlink" Target="https://lh3.googleusercontent.com/d/1kq8geM4lHA7HOdjB8PoAT6TMZO-hrPC-" TargetMode="External"/><Relationship Id="rId37" Type="http://schemas.openxmlformats.org/officeDocument/2006/relationships/hyperlink" Target="https://lh3.googleusercontent.com/d/1IDhWKFfGYXjIl8QOdtCmc2tlv8aBJ8P3" TargetMode="External"/><Relationship Id="rId58" Type="http://schemas.openxmlformats.org/officeDocument/2006/relationships/image" Target="../media/image29.png"/><Relationship Id="rId79" Type="http://schemas.openxmlformats.org/officeDocument/2006/relationships/hyperlink" Target="https://lh3.googleusercontent.com/d/1LIqCU6blcnCcWf-ZqT7DLZ1-BSnHbAbB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lh3.googleusercontent.com/d/1XScIHpJiX9Pw2p99Wms2Xwf351s2QJ-C" TargetMode="External"/><Relationship Id="rId144" Type="http://schemas.openxmlformats.org/officeDocument/2006/relationships/image" Target="../media/image72.png"/><Relationship Id="rId330" Type="http://schemas.openxmlformats.org/officeDocument/2006/relationships/image" Target="../media/image165.png"/><Relationship Id="rId90" Type="http://schemas.openxmlformats.org/officeDocument/2006/relationships/image" Target="../media/image45.png"/><Relationship Id="rId165" Type="http://schemas.openxmlformats.org/officeDocument/2006/relationships/hyperlink" Target="https://lh3.googleusercontent.com/d/15e_-1nseUA6wKiDCDrzrslGJoLNm4Pb_" TargetMode="External"/><Relationship Id="rId186" Type="http://schemas.openxmlformats.org/officeDocument/2006/relationships/image" Target="../media/image93.png"/><Relationship Id="rId211" Type="http://schemas.openxmlformats.org/officeDocument/2006/relationships/hyperlink" Target="https://lh3.googleusercontent.com/d/1wTKRNnr_7_2dLdwRSOHSpBYgxZ8ytZgh" TargetMode="External"/><Relationship Id="rId232" Type="http://schemas.openxmlformats.org/officeDocument/2006/relationships/image" Target="../media/image116.png"/><Relationship Id="rId253" Type="http://schemas.openxmlformats.org/officeDocument/2006/relationships/hyperlink" Target="https://lh3.googleusercontent.com/d/1ZYH73-tpsdG8bX8f_tYyg_5A8jbb2bf3" TargetMode="External"/><Relationship Id="rId274" Type="http://schemas.openxmlformats.org/officeDocument/2006/relationships/image" Target="../media/image137.png"/><Relationship Id="rId295" Type="http://schemas.openxmlformats.org/officeDocument/2006/relationships/hyperlink" Target="https://lh3.googleusercontent.com/d/1Ezt5ewU1w085pzx7N8Up32AWdmREq7kf" TargetMode="External"/><Relationship Id="rId309" Type="http://schemas.openxmlformats.org/officeDocument/2006/relationships/hyperlink" Target="https://lh3.googleusercontent.com/d/1Q0yEFQhafQ2ddMFFVJnv9tnq53eNmIpq" TargetMode="External"/><Relationship Id="rId27" Type="http://schemas.openxmlformats.org/officeDocument/2006/relationships/hyperlink" Target="https://lh3.googleusercontent.com/d/13UBKA2y83XgUcbVi6MsON6m0KS80UIG7" TargetMode="External"/><Relationship Id="rId48" Type="http://schemas.openxmlformats.org/officeDocument/2006/relationships/image" Target="../media/image24.png"/><Relationship Id="rId69" Type="http://schemas.openxmlformats.org/officeDocument/2006/relationships/hyperlink" Target="https://lh3.googleusercontent.com/d/1Oo7spCoBHe40EUe4bJHWccjWmqMy71eG" TargetMode="External"/><Relationship Id="rId113" Type="http://schemas.openxmlformats.org/officeDocument/2006/relationships/hyperlink" Target="https://lh3.googleusercontent.com/d/1GOiQbHAa09fPjsxSA5D-k7oh-hwI1rBu" TargetMode="External"/><Relationship Id="rId134" Type="http://schemas.openxmlformats.org/officeDocument/2006/relationships/image" Target="../media/image67.png"/><Relationship Id="rId320" Type="http://schemas.openxmlformats.org/officeDocument/2006/relationships/image" Target="../media/image160.png"/><Relationship Id="rId80" Type="http://schemas.openxmlformats.org/officeDocument/2006/relationships/image" Target="../media/image40.png"/><Relationship Id="rId155" Type="http://schemas.openxmlformats.org/officeDocument/2006/relationships/hyperlink" Target="https://lh3.googleusercontent.com/d/1WlllAu8aXBkGnMzimsAvwgWlm_r_XxU6" TargetMode="External"/><Relationship Id="rId176" Type="http://schemas.openxmlformats.org/officeDocument/2006/relationships/image" Target="../media/image88.png"/><Relationship Id="rId197" Type="http://schemas.openxmlformats.org/officeDocument/2006/relationships/hyperlink" Target="https://lh3.googleusercontent.com/d/1h-ajwuGqXdjPyAyKyjgCErVArItMt1GH" TargetMode="External"/><Relationship Id="rId201" Type="http://schemas.openxmlformats.org/officeDocument/2006/relationships/hyperlink" Target="https://lh3.googleusercontent.com/d/1lsWH_VgOZ79m9V3pgqPAvKB4FQ48MGhW" TargetMode="External"/><Relationship Id="rId222" Type="http://schemas.openxmlformats.org/officeDocument/2006/relationships/image" Target="../media/image111.png"/><Relationship Id="rId243" Type="http://schemas.openxmlformats.org/officeDocument/2006/relationships/hyperlink" Target="https://lh3.googleusercontent.com/d/1lhFzerN1fzMgRpYwOGKnAr1vdWaKCLUZ" TargetMode="External"/><Relationship Id="rId264" Type="http://schemas.openxmlformats.org/officeDocument/2006/relationships/image" Target="../media/image132.png"/><Relationship Id="rId285" Type="http://schemas.openxmlformats.org/officeDocument/2006/relationships/hyperlink" Target="https://lh3.googleusercontent.com/d/17OhRN9tFgzTpQw7EnPIBmXw4u-SGsuRB" TargetMode="External"/><Relationship Id="rId17" Type="http://schemas.openxmlformats.org/officeDocument/2006/relationships/hyperlink" Target="https://lh3.googleusercontent.com/d/1GL5wYMGDDdTA5JlzmCpLl6YrZF9hDtIR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lh3.googleusercontent.com/d/1Z0SVxlC3CWAKxtcCxfOuacqLBNe_N8Ql" TargetMode="External"/><Relationship Id="rId103" Type="http://schemas.openxmlformats.org/officeDocument/2006/relationships/hyperlink" Target="https://lh3.googleusercontent.com/d/1G0TkXg__QUmeJ3_jylUG2Vr-vfq0UXOl" TargetMode="External"/><Relationship Id="rId124" Type="http://schemas.openxmlformats.org/officeDocument/2006/relationships/image" Target="../media/image62.png"/><Relationship Id="rId310" Type="http://schemas.openxmlformats.org/officeDocument/2006/relationships/image" Target="../media/image155.png"/><Relationship Id="rId70" Type="http://schemas.openxmlformats.org/officeDocument/2006/relationships/image" Target="../media/image35.png"/><Relationship Id="rId91" Type="http://schemas.openxmlformats.org/officeDocument/2006/relationships/hyperlink" Target="https://lh3.googleusercontent.com/d/1eei_1_0H_hmD9qF-OM3F3g-h50djLHaO" TargetMode="External"/><Relationship Id="rId145" Type="http://schemas.openxmlformats.org/officeDocument/2006/relationships/hyperlink" Target="https://lh3.googleusercontent.com/d/1iUzHdBNRvQjBUseyJFyaMTLr7kTkOe6Q" TargetMode="External"/><Relationship Id="rId166" Type="http://schemas.openxmlformats.org/officeDocument/2006/relationships/image" Target="../media/image83.png"/><Relationship Id="rId187" Type="http://schemas.openxmlformats.org/officeDocument/2006/relationships/hyperlink" Target="https://lh3.googleusercontent.com/d/1OaoMyH6EwXhJCOX_KE5z5MyJCQcDlcq-" TargetMode="External"/><Relationship Id="rId331" Type="http://schemas.openxmlformats.org/officeDocument/2006/relationships/hyperlink" Target="https://lh3.googleusercontent.com/d/1SCXd2w-DZDwgKeaim3kdp6OJx1RmPLBe" TargetMode="External"/><Relationship Id="rId1" Type="http://schemas.openxmlformats.org/officeDocument/2006/relationships/hyperlink" Target="https://lh3.googleusercontent.com/d/1W6Ky5ZGm7l7ZmmoawU7UcPLtadd-8XJp" TargetMode="External"/><Relationship Id="rId212" Type="http://schemas.openxmlformats.org/officeDocument/2006/relationships/image" Target="../media/image106.png"/><Relationship Id="rId233" Type="http://schemas.openxmlformats.org/officeDocument/2006/relationships/hyperlink" Target="https://lh3.googleusercontent.com/d/1KIMkXyBoxn88UEZ1nizT7MCKOXZzoNC_" TargetMode="External"/><Relationship Id="rId254" Type="http://schemas.openxmlformats.org/officeDocument/2006/relationships/image" Target="../media/image127.png"/><Relationship Id="rId28" Type="http://schemas.openxmlformats.org/officeDocument/2006/relationships/image" Target="../media/image14.png"/><Relationship Id="rId49" Type="http://schemas.openxmlformats.org/officeDocument/2006/relationships/hyperlink" Target="https://lh3.googleusercontent.com/d/1uyizApWq6aD_CPCAyiGDaK060EeJjc4G" TargetMode="External"/><Relationship Id="rId114" Type="http://schemas.openxmlformats.org/officeDocument/2006/relationships/image" Target="../media/image57.png"/><Relationship Id="rId275" Type="http://schemas.openxmlformats.org/officeDocument/2006/relationships/hyperlink" Target="https://lh3.googleusercontent.com/d/1NJxiuQubSxNYvJO6eVXPuVhhcd9z5xy8" TargetMode="External"/><Relationship Id="rId296" Type="http://schemas.openxmlformats.org/officeDocument/2006/relationships/image" Target="../media/image148.png"/><Relationship Id="rId300" Type="http://schemas.openxmlformats.org/officeDocument/2006/relationships/image" Target="../media/image150.png"/><Relationship Id="rId60" Type="http://schemas.openxmlformats.org/officeDocument/2006/relationships/image" Target="../media/image30.png"/><Relationship Id="rId81" Type="http://schemas.openxmlformats.org/officeDocument/2006/relationships/hyperlink" Target="https://lh3.googleusercontent.com/d/1jI3qGsJtsMvCVsv4b3ftltjfJumES6tq" TargetMode="External"/><Relationship Id="rId135" Type="http://schemas.openxmlformats.org/officeDocument/2006/relationships/hyperlink" Target="https://lh3.googleusercontent.com/d/1zgp9SKHovBoGc8XpyO2emeQz8X90AHiG" TargetMode="External"/><Relationship Id="rId156" Type="http://schemas.openxmlformats.org/officeDocument/2006/relationships/image" Target="../media/image78.png"/><Relationship Id="rId177" Type="http://schemas.openxmlformats.org/officeDocument/2006/relationships/hyperlink" Target="https://lh3.googleusercontent.com/d/1fd567ujdVY-SPBTqCnK9t9UXBow_KP7-" TargetMode="External"/><Relationship Id="rId198" Type="http://schemas.openxmlformats.org/officeDocument/2006/relationships/image" Target="../media/image99.png"/><Relationship Id="rId321" Type="http://schemas.openxmlformats.org/officeDocument/2006/relationships/hyperlink" Target="https://lh3.googleusercontent.com/d/10q-MUKaBCpEekhCqJRMZLeb9nA633jim" TargetMode="External"/><Relationship Id="rId202" Type="http://schemas.openxmlformats.org/officeDocument/2006/relationships/image" Target="../media/image101.png"/><Relationship Id="rId223" Type="http://schemas.openxmlformats.org/officeDocument/2006/relationships/hyperlink" Target="https://lh3.googleusercontent.com/d/11MJMRz4b4kYKoX4KQK2z3n3vq_4c7PPR" TargetMode="External"/><Relationship Id="rId244" Type="http://schemas.openxmlformats.org/officeDocument/2006/relationships/image" Target="../media/image122.png"/><Relationship Id="rId18" Type="http://schemas.openxmlformats.org/officeDocument/2006/relationships/image" Target="../media/image9.png"/><Relationship Id="rId39" Type="http://schemas.openxmlformats.org/officeDocument/2006/relationships/hyperlink" Target="https://lh3.googleusercontent.com/d/1cMjlm8j0ChYV6dJ0auOQZ70fwE5Bzmao" TargetMode="External"/><Relationship Id="rId265" Type="http://schemas.openxmlformats.org/officeDocument/2006/relationships/hyperlink" Target="https://lh3.googleusercontent.com/d/1lpv9onkZIHEreuAg2dRi5Fn_zPHHM7Jn" TargetMode="External"/><Relationship Id="rId286" Type="http://schemas.openxmlformats.org/officeDocument/2006/relationships/image" Target="../media/image143.png"/><Relationship Id="rId50" Type="http://schemas.openxmlformats.org/officeDocument/2006/relationships/image" Target="../media/image25.png"/><Relationship Id="rId104" Type="http://schemas.openxmlformats.org/officeDocument/2006/relationships/image" Target="../media/image52.png"/><Relationship Id="rId125" Type="http://schemas.openxmlformats.org/officeDocument/2006/relationships/hyperlink" Target="https://lh3.googleusercontent.com/d/1E-gfET25GVvMhg8iIJ9naoVHhLVLhKn-" TargetMode="External"/><Relationship Id="rId146" Type="http://schemas.openxmlformats.org/officeDocument/2006/relationships/image" Target="../media/image73.png"/><Relationship Id="rId167" Type="http://schemas.openxmlformats.org/officeDocument/2006/relationships/hyperlink" Target="https://lh3.googleusercontent.com/d/1_xtyHkS6Crhf9rLHwSE7K8RL2QwblCts" TargetMode="External"/><Relationship Id="rId188" Type="http://schemas.openxmlformats.org/officeDocument/2006/relationships/image" Target="../media/image94.png"/><Relationship Id="rId311" Type="http://schemas.openxmlformats.org/officeDocument/2006/relationships/hyperlink" Target="https://lh3.googleusercontent.com/d/1j2n68ViiSkHmWIfIxjD6rMULXSIgJiu5" TargetMode="External"/><Relationship Id="rId332" Type="http://schemas.openxmlformats.org/officeDocument/2006/relationships/image" Target="../media/image166.png"/><Relationship Id="rId71" Type="http://schemas.openxmlformats.org/officeDocument/2006/relationships/hyperlink" Target="https://lh3.googleusercontent.com/d/1p85NUVvhj1xoUTMFjibOtyNZZUpxWohl" TargetMode="External"/><Relationship Id="rId92" Type="http://schemas.openxmlformats.org/officeDocument/2006/relationships/image" Target="../media/image46.png"/><Relationship Id="rId213" Type="http://schemas.openxmlformats.org/officeDocument/2006/relationships/hyperlink" Target="https://lh3.googleusercontent.com/d/1xDQZJvXQaRJryqnB5Q4iC49qAD9AI-Q7" TargetMode="External"/><Relationship Id="rId234" Type="http://schemas.openxmlformats.org/officeDocument/2006/relationships/image" Target="../media/image117.png"/><Relationship Id="rId2" Type="http://schemas.openxmlformats.org/officeDocument/2006/relationships/image" Target="../media/image1.png"/><Relationship Id="rId29" Type="http://schemas.openxmlformats.org/officeDocument/2006/relationships/hyperlink" Target="https://lh3.googleusercontent.com/d/1aRtkGRvTZ9RUaaMUpmBXsV6RCrOXtAx9" TargetMode="External"/><Relationship Id="rId255" Type="http://schemas.openxmlformats.org/officeDocument/2006/relationships/hyperlink" Target="https://lh3.googleusercontent.com/d/1megZYr51G4cl9QX8pme-ECg0D8s-wlj8" TargetMode="External"/><Relationship Id="rId276" Type="http://schemas.openxmlformats.org/officeDocument/2006/relationships/image" Target="../media/image138.png"/><Relationship Id="rId297" Type="http://schemas.openxmlformats.org/officeDocument/2006/relationships/hyperlink" Target="https://lh3.googleusercontent.com/d/1Uo48kxu30mpjvpkt3cjGUSCXKs8nYTQC" TargetMode="External"/><Relationship Id="rId40" Type="http://schemas.openxmlformats.org/officeDocument/2006/relationships/image" Target="../media/image20.png"/><Relationship Id="rId115" Type="http://schemas.openxmlformats.org/officeDocument/2006/relationships/hyperlink" Target="https://lh3.googleusercontent.com/d/1WCaGeLXsuINqeM5m3BESIxExI38dXBLX" TargetMode="External"/><Relationship Id="rId136" Type="http://schemas.openxmlformats.org/officeDocument/2006/relationships/image" Target="../media/image68.png"/><Relationship Id="rId157" Type="http://schemas.openxmlformats.org/officeDocument/2006/relationships/hyperlink" Target="https://lh3.googleusercontent.com/d/1VOskYw6_srkzJF7nXupJRvdC1Z3NZNPA" TargetMode="External"/><Relationship Id="rId178" Type="http://schemas.openxmlformats.org/officeDocument/2006/relationships/image" Target="../media/image89.png"/><Relationship Id="rId301" Type="http://schemas.openxmlformats.org/officeDocument/2006/relationships/hyperlink" Target="https://lh3.googleusercontent.com/d/1cnhpMUfqxIzZt9usDlurofLQAGRRF5Wh" TargetMode="External"/><Relationship Id="rId322" Type="http://schemas.openxmlformats.org/officeDocument/2006/relationships/image" Target="../media/image161.png"/><Relationship Id="rId61" Type="http://schemas.openxmlformats.org/officeDocument/2006/relationships/hyperlink" Target="https://lh3.googleusercontent.com/d/1gtM3iyUXeAb8cUC8hBtmEWknp7SvEp9w" TargetMode="External"/><Relationship Id="rId82" Type="http://schemas.openxmlformats.org/officeDocument/2006/relationships/image" Target="../media/image41.png"/><Relationship Id="rId199" Type="http://schemas.openxmlformats.org/officeDocument/2006/relationships/hyperlink" Target="https://lh3.googleusercontent.com/d/1ixYEBlDi-41dfktZm54hBknPY4M76ohz" TargetMode="External"/><Relationship Id="rId203" Type="http://schemas.openxmlformats.org/officeDocument/2006/relationships/hyperlink" Target="https://lh3.googleusercontent.com/d/1mqrAmEzfd3T4o6lK2bFDEgQRp3UsO8-L" TargetMode="External"/><Relationship Id="rId19" Type="http://schemas.openxmlformats.org/officeDocument/2006/relationships/hyperlink" Target="https://lh3.googleusercontent.com/d/1V-WJIlMxJB6n5SuDE8Af3xz0rFOMJX2I" TargetMode="External"/><Relationship Id="rId224" Type="http://schemas.openxmlformats.org/officeDocument/2006/relationships/image" Target="../media/image112.png"/><Relationship Id="rId245" Type="http://schemas.openxmlformats.org/officeDocument/2006/relationships/hyperlink" Target="https://lh3.googleusercontent.com/d/10kerOxkYDyJ-yY6EA5eFb4bxUPvr3v0A" TargetMode="External"/><Relationship Id="rId266" Type="http://schemas.openxmlformats.org/officeDocument/2006/relationships/image" Target="../media/image133.png"/><Relationship Id="rId287" Type="http://schemas.openxmlformats.org/officeDocument/2006/relationships/hyperlink" Target="https://lh3.googleusercontent.com/d/1mLPuqir-2bZzjYuJhIXvBuV_QhdXybwR" TargetMode="External"/><Relationship Id="rId30" Type="http://schemas.openxmlformats.org/officeDocument/2006/relationships/image" Target="../media/image15.png"/><Relationship Id="rId105" Type="http://schemas.openxmlformats.org/officeDocument/2006/relationships/hyperlink" Target="https://lh3.googleusercontent.com/d/1xv612bU05HIsg9wezZYONEmBfZtDDeRr" TargetMode="External"/><Relationship Id="rId126" Type="http://schemas.openxmlformats.org/officeDocument/2006/relationships/image" Target="../media/image63.png"/><Relationship Id="rId147" Type="http://schemas.openxmlformats.org/officeDocument/2006/relationships/hyperlink" Target="https://lh3.googleusercontent.com/d/1VY0ud6HOKGmOAFujW7kfZqaSbjc0xAXC" TargetMode="External"/><Relationship Id="rId168" Type="http://schemas.openxmlformats.org/officeDocument/2006/relationships/image" Target="../media/image84.png"/><Relationship Id="rId312" Type="http://schemas.openxmlformats.org/officeDocument/2006/relationships/image" Target="../media/image156.png"/><Relationship Id="rId333" Type="http://schemas.openxmlformats.org/officeDocument/2006/relationships/hyperlink" Target="https://lh3.googleusercontent.com/d/1vKIxZuHYSAOroQtgcYupTxuTkpCkC-ax" TargetMode="External"/><Relationship Id="rId51" Type="http://schemas.openxmlformats.org/officeDocument/2006/relationships/hyperlink" Target="https://lh3.googleusercontent.com/d/1xmNxqz6weMXAsAPiJNzauU2if5kHa49S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lh3.googleusercontent.com/d/1X5O_nktVqj1a_6ZT7HWTKJp4pcaXgQbD" TargetMode="External"/><Relationship Id="rId189" Type="http://schemas.openxmlformats.org/officeDocument/2006/relationships/hyperlink" Target="https://lh3.googleusercontent.com/d/17GH1E2ffRq67jNbhhVnYebYObTA1OjJ1" TargetMode="External"/><Relationship Id="rId3" Type="http://schemas.openxmlformats.org/officeDocument/2006/relationships/hyperlink" Target="https://lh3.googleusercontent.com/d/1YC8vkxRyY-KUzQIA2ARn03m9ylpwSunS" TargetMode="External"/><Relationship Id="rId214" Type="http://schemas.openxmlformats.org/officeDocument/2006/relationships/image" Target="../media/image107.png"/><Relationship Id="rId235" Type="http://schemas.openxmlformats.org/officeDocument/2006/relationships/hyperlink" Target="https://lh3.googleusercontent.com/d/1Xf0MyVeyiNgWlUTUo-ufl1pwvRbSRz-l" TargetMode="External"/><Relationship Id="rId256" Type="http://schemas.openxmlformats.org/officeDocument/2006/relationships/image" Target="../media/image128.png"/><Relationship Id="rId277" Type="http://schemas.openxmlformats.org/officeDocument/2006/relationships/hyperlink" Target="https://lh3.googleusercontent.com/d/1TA7yf_5-ZrtAsjJZ-GSTZqA_cEKPNKdv" TargetMode="External"/><Relationship Id="rId298" Type="http://schemas.openxmlformats.org/officeDocument/2006/relationships/image" Target="../media/image149.png"/><Relationship Id="rId116" Type="http://schemas.openxmlformats.org/officeDocument/2006/relationships/image" Target="../media/image58.png"/><Relationship Id="rId137" Type="http://schemas.openxmlformats.org/officeDocument/2006/relationships/hyperlink" Target="https://lh3.googleusercontent.com/d/1QG0KvAYYQN3zhRRo1zRfqyywDGbwrPF6" TargetMode="External"/><Relationship Id="rId158" Type="http://schemas.openxmlformats.org/officeDocument/2006/relationships/image" Target="../media/image79.png"/><Relationship Id="rId302" Type="http://schemas.openxmlformats.org/officeDocument/2006/relationships/image" Target="../media/image151.png"/><Relationship Id="rId323" Type="http://schemas.openxmlformats.org/officeDocument/2006/relationships/hyperlink" Target="https://lh3.googleusercontent.com/d/1mOb3C6uEV5uD1FZkUOL3hEx0bKAekDNY" TargetMode="External"/><Relationship Id="rId20" Type="http://schemas.openxmlformats.org/officeDocument/2006/relationships/image" Target="../media/image10.png"/><Relationship Id="rId41" Type="http://schemas.openxmlformats.org/officeDocument/2006/relationships/hyperlink" Target="https://lh3.googleusercontent.com/d/1f2EqI_elTl1wPsbaOG2D9y3sebF3LmAH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lh3.googleusercontent.com/d/1pnmR2t7PiN1FVKzsB0pnc79_GXjLcO31" TargetMode="External"/><Relationship Id="rId179" Type="http://schemas.openxmlformats.org/officeDocument/2006/relationships/hyperlink" Target="https://lh3.googleusercontent.com/d/17DrX9BSKcmpd18RO57J_Uu0lrOLpyg12" TargetMode="External"/><Relationship Id="rId190" Type="http://schemas.openxmlformats.org/officeDocument/2006/relationships/image" Target="../media/image95.png"/><Relationship Id="rId204" Type="http://schemas.openxmlformats.org/officeDocument/2006/relationships/image" Target="../media/image102.png"/><Relationship Id="rId225" Type="http://schemas.openxmlformats.org/officeDocument/2006/relationships/hyperlink" Target="https://lh3.googleusercontent.com/d/11g208LBqEps25N0MoxShSs2b8kVQxXYr" TargetMode="External"/><Relationship Id="rId246" Type="http://schemas.openxmlformats.org/officeDocument/2006/relationships/image" Target="../media/image123.png"/><Relationship Id="rId267" Type="http://schemas.openxmlformats.org/officeDocument/2006/relationships/hyperlink" Target="https://lh3.googleusercontent.com/d/1AKw1u48cp3BvDazNfWw0B_Lf39RJs84t" TargetMode="External"/><Relationship Id="rId288" Type="http://schemas.openxmlformats.org/officeDocument/2006/relationships/image" Target="../media/image144.png"/><Relationship Id="rId106" Type="http://schemas.openxmlformats.org/officeDocument/2006/relationships/image" Target="../media/image53.png"/><Relationship Id="rId127" Type="http://schemas.openxmlformats.org/officeDocument/2006/relationships/hyperlink" Target="https://lh3.googleusercontent.com/d/15qkpHnfSkx78QcGICZqCLyAD_82igFx6" TargetMode="External"/><Relationship Id="rId313" Type="http://schemas.openxmlformats.org/officeDocument/2006/relationships/hyperlink" Target="https://lh3.googleusercontent.com/d/1Kg8VfFFutotCAcuoEpMW1ODHXYNt0OXI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lh3.googleusercontent.com/d/1spTqSv-vaqD9OTX3zkwoxV5UKIn1KEhh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lh3.googleusercontent.com/d/1-hNeBC3UuO0D34rdZHZUDel6ENfDUcE_" TargetMode="External"/><Relationship Id="rId94" Type="http://schemas.openxmlformats.org/officeDocument/2006/relationships/image" Target="../media/image47.png"/><Relationship Id="rId148" Type="http://schemas.openxmlformats.org/officeDocument/2006/relationships/image" Target="../media/image74.png"/><Relationship Id="rId169" Type="http://schemas.openxmlformats.org/officeDocument/2006/relationships/hyperlink" Target="https://lh3.googleusercontent.com/d/1UXSMYQJXafNNmbQPnGPkxR1iuWkDwgy3" TargetMode="External"/><Relationship Id="rId334" Type="http://schemas.openxmlformats.org/officeDocument/2006/relationships/image" Target="../media/image167.png"/><Relationship Id="rId4" Type="http://schemas.openxmlformats.org/officeDocument/2006/relationships/image" Target="../media/image2.png"/><Relationship Id="rId180" Type="http://schemas.openxmlformats.org/officeDocument/2006/relationships/image" Target="../media/image90.png"/><Relationship Id="rId215" Type="http://schemas.openxmlformats.org/officeDocument/2006/relationships/hyperlink" Target="https://lh3.googleusercontent.com/d/1lpWnc5DkQetevLIbOhlG8roMV8vOHn2V" TargetMode="External"/><Relationship Id="rId236" Type="http://schemas.openxmlformats.org/officeDocument/2006/relationships/image" Target="../media/image118.png"/><Relationship Id="rId257" Type="http://schemas.openxmlformats.org/officeDocument/2006/relationships/hyperlink" Target="https://lh3.googleusercontent.com/d/1r457C5zXnFGgm37miLC8sKXdTypNhfCm" TargetMode="External"/><Relationship Id="rId278" Type="http://schemas.openxmlformats.org/officeDocument/2006/relationships/image" Target="../media/image139.png"/><Relationship Id="rId303" Type="http://schemas.openxmlformats.org/officeDocument/2006/relationships/hyperlink" Target="https://lh3.googleusercontent.com/d/1r7wJCSFrgbeVfYYtmG8plfXJ7Z5xyCMs" TargetMode="External"/><Relationship Id="rId42" Type="http://schemas.openxmlformats.org/officeDocument/2006/relationships/image" Target="../media/image21.png"/><Relationship Id="rId84" Type="http://schemas.openxmlformats.org/officeDocument/2006/relationships/image" Target="../media/image42.png"/><Relationship Id="rId138" Type="http://schemas.openxmlformats.org/officeDocument/2006/relationships/image" Target="../media/image69.png"/><Relationship Id="rId191" Type="http://schemas.openxmlformats.org/officeDocument/2006/relationships/hyperlink" Target="https://lh3.googleusercontent.com/d/1Gx5esleRSwHwROneWPqn76ggcbOV0UrL" TargetMode="External"/><Relationship Id="rId205" Type="http://schemas.openxmlformats.org/officeDocument/2006/relationships/hyperlink" Target="https://lh3.googleusercontent.com/d/1pcjx3RVG5BE3Nx8VrlzmmL0RhvyNOxnF" TargetMode="External"/><Relationship Id="rId247" Type="http://schemas.openxmlformats.org/officeDocument/2006/relationships/hyperlink" Target="https://lh3.googleusercontent.com/d/14Eq7GdJxjyummYbkNxOLFvC5mWxyCyA0" TargetMode="External"/><Relationship Id="rId107" Type="http://schemas.openxmlformats.org/officeDocument/2006/relationships/hyperlink" Target="https://lh3.googleusercontent.com/d/1HFou7HumSP67DoS8IhbAHTLuf8QHyULM" TargetMode="External"/><Relationship Id="rId289" Type="http://schemas.openxmlformats.org/officeDocument/2006/relationships/hyperlink" Target="https://lh3.googleusercontent.com/d/1JW0760-terqy1g7ertCdyg4Q2vLWjZlF" TargetMode="External"/><Relationship Id="rId11" Type="http://schemas.openxmlformats.org/officeDocument/2006/relationships/hyperlink" Target="https://lh3.googleusercontent.com/d/1iQB8PAOaokPHT-uZ7L8vOT94Znh0z9Cy" TargetMode="External"/><Relationship Id="rId53" Type="http://schemas.openxmlformats.org/officeDocument/2006/relationships/hyperlink" Target="https://lh3.googleusercontent.com/d/126eeJZ1WAbAvoa1-OgyxtRjtETUbhxAi" TargetMode="External"/><Relationship Id="rId149" Type="http://schemas.openxmlformats.org/officeDocument/2006/relationships/hyperlink" Target="https://lh3.googleusercontent.com/d/1MxOx33wt_pLd-mOJt2JpwOo14OleF32h" TargetMode="External"/><Relationship Id="rId314" Type="http://schemas.openxmlformats.org/officeDocument/2006/relationships/image" Target="../media/image157.png"/><Relationship Id="rId95" Type="http://schemas.openxmlformats.org/officeDocument/2006/relationships/hyperlink" Target="https://lh3.googleusercontent.com/d/1fRqUdNOoRwXd4LlAMMlxO60bvYolHhwc" TargetMode="External"/><Relationship Id="rId160" Type="http://schemas.openxmlformats.org/officeDocument/2006/relationships/image" Target="../media/image80.png"/><Relationship Id="rId216" Type="http://schemas.openxmlformats.org/officeDocument/2006/relationships/image" Target="../media/image108.png"/><Relationship Id="rId258" Type="http://schemas.openxmlformats.org/officeDocument/2006/relationships/image" Target="../media/image129.png"/><Relationship Id="rId22" Type="http://schemas.openxmlformats.org/officeDocument/2006/relationships/image" Target="../media/image11.png"/><Relationship Id="rId64" Type="http://schemas.openxmlformats.org/officeDocument/2006/relationships/image" Target="../media/image32.png"/><Relationship Id="rId118" Type="http://schemas.openxmlformats.org/officeDocument/2006/relationships/image" Target="../media/image59.png"/><Relationship Id="rId325" Type="http://schemas.openxmlformats.org/officeDocument/2006/relationships/hyperlink" Target="https://lh3.googleusercontent.com/d/1ZX_tvCHLbGbGBQ7fik4UJa3Jsf8eiUzw" TargetMode="External"/><Relationship Id="rId171" Type="http://schemas.openxmlformats.org/officeDocument/2006/relationships/hyperlink" Target="https://lh3.googleusercontent.com/d/1jgdPO4x_Q2pBBg6mHGo8ITg-KUQcs5Sv" TargetMode="External"/><Relationship Id="rId227" Type="http://schemas.openxmlformats.org/officeDocument/2006/relationships/hyperlink" Target="https://lh3.googleusercontent.com/d/1BSLDSSpDCbo5UDTi8-esEeNNkJ_ezFnp" TargetMode="External"/><Relationship Id="rId269" Type="http://schemas.openxmlformats.org/officeDocument/2006/relationships/hyperlink" Target="https://lh3.googleusercontent.com/d/1sTJEDgWtJaal5i-QKhuoLGMmqUflHL6V" TargetMode="External"/><Relationship Id="rId33" Type="http://schemas.openxmlformats.org/officeDocument/2006/relationships/hyperlink" Target="https://lh3.googleusercontent.com/d/13zP0x8QMMB1NYkh4LMupEFj9N43C5Oox" TargetMode="External"/><Relationship Id="rId129" Type="http://schemas.openxmlformats.org/officeDocument/2006/relationships/hyperlink" Target="https://lh3.googleusercontent.com/d/1Q9xIsylGQSYsOMs_om4uUvmfdS1TxCXk" TargetMode="External"/><Relationship Id="rId280" Type="http://schemas.openxmlformats.org/officeDocument/2006/relationships/image" Target="../media/image140.png"/><Relationship Id="rId336" Type="http://schemas.openxmlformats.org/officeDocument/2006/relationships/image" Target="../media/image168.png"/><Relationship Id="rId75" Type="http://schemas.openxmlformats.org/officeDocument/2006/relationships/hyperlink" Target="https://lh3.googleusercontent.com/d/1_FO5OSTBkVxFHmdpi3p5wMMzDeKe6EKd" TargetMode="External"/><Relationship Id="rId140" Type="http://schemas.openxmlformats.org/officeDocument/2006/relationships/image" Target="../media/image70.png"/><Relationship Id="rId182" Type="http://schemas.openxmlformats.org/officeDocument/2006/relationships/image" Target="../media/image91.png"/><Relationship Id="rId6" Type="http://schemas.openxmlformats.org/officeDocument/2006/relationships/image" Target="../media/image3.png"/><Relationship Id="rId238" Type="http://schemas.openxmlformats.org/officeDocument/2006/relationships/image" Target="../media/image119.png"/><Relationship Id="rId291" Type="http://schemas.openxmlformats.org/officeDocument/2006/relationships/hyperlink" Target="https://lh3.googleusercontent.com/d/1ym0qtaqsapU6AKB220b6yiRFyC5F0Uoi" TargetMode="External"/><Relationship Id="rId305" Type="http://schemas.openxmlformats.org/officeDocument/2006/relationships/hyperlink" Target="https://lh3.googleusercontent.com/d/1AHxLA76rJa-CT8kaDUFVyCmPXTiQvemr" TargetMode="External"/><Relationship Id="rId44" Type="http://schemas.openxmlformats.org/officeDocument/2006/relationships/image" Target="../media/image22.png"/><Relationship Id="rId86" Type="http://schemas.openxmlformats.org/officeDocument/2006/relationships/image" Target="../media/image43.png"/><Relationship Id="rId151" Type="http://schemas.openxmlformats.org/officeDocument/2006/relationships/hyperlink" Target="https://lh3.googleusercontent.com/d/1p9F4_SeDN1JT2s3Tz2Hmgd7XQ1O9xHwC" TargetMode="External"/><Relationship Id="rId193" Type="http://schemas.openxmlformats.org/officeDocument/2006/relationships/hyperlink" Target="https://lh3.googleusercontent.com/d/1Hkq9RdfMBfhwMLb2PottWTylwamx2Udk" TargetMode="External"/><Relationship Id="rId207" Type="http://schemas.openxmlformats.org/officeDocument/2006/relationships/hyperlink" Target="https://lh3.googleusercontent.com/d/1qig7stoYJznEn_gpEw4grxZt_0slxeKm" TargetMode="External"/><Relationship Id="rId249" Type="http://schemas.openxmlformats.org/officeDocument/2006/relationships/hyperlink" Target="https://lh3.googleusercontent.com/d/16Dcx1gL4WWCfoLcLFNHak_LkO7NvGTuC" TargetMode="External"/><Relationship Id="rId13" Type="http://schemas.openxmlformats.org/officeDocument/2006/relationships/hyperlink" Target="https://lh3.googleusercontent.com/d/1-IOX6GX1Y0sDso8wLlBqFs_hVadVK48s" TargetMode="External"/><Relationship Id="rId109" Type="http://schemas.openxmlformats.org/officeDocument/2006/relationships/hyperlink" Target="https://lh3.googleusercontent.com/d/1ecTjhlF7jf1RrIou7a759XI9a8DeSQxo" TargetMode="External"/><Relationship Id="rId260" Type="http://schemas.openxmlformats.org/officeDocument/2006/relationships/image" Target="../media/image130.png"/><Relationship Id="rId316" Type="http://schemas.openxmlformats.org/officeDocument/2006/relationships/image" Target="../media/image158.png"/><Relationship Id="rId55" Type="http://schemas.openxmlformats.org/officeDocument/2006/relationships/hyperlink" Target="https://lh3.googleusercontent.com/d/1tvJKyC4K65-CurFVl6QWalMYVojDLHuO" TargetMode="External"/><Relationship Id="rId97" Type="http://schemas.openxmlformats.org/officeDocument/2006/relationships/hyperlink" Target="https://lh3.googleusercontent.com/d/1pgAWiXukmKFcLUEO4Yb0vrTZe1XIQqDP" TargetMode="External"/><Relationship Id="rId120" Type="http://schemas.openxmlformats.org/officeDocument/2006/relationships/image" Target="../media/image60.png"/><Relationship Id="rId162" Type="http://schemas.openxmlformats.org/officeDocument/2006/relationships/image" Target="../media/image81.png"/><Relationship Id="rId218" Type="http://schemas.openxmlformats.org/officeDocument/2006/relationships/image" Target="../media/image109.png"/><Relationship Id="rId271" Type="http://schemas.openxmlformats.org/officeDocument/2006/relationships/hyperlink" Target="https://lh3.googleusercontent.com/d/1udq6L7DN8Lk8k-L5BIAfRuF66KYjq9Uo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  <webImageSrd>
    <address r:id="rId131"/>
    <blip r:id="rId132"/>
  </webImageSrd>
  <webImageSrd>
    <address r:id="rId133"/>
    <blip r:id="rId134"/>
  </webImageSrd>
  <webImageSrd>
    <address r:id="rId135"/>
    <blip r:id="rId136"/>
  </webImageSrd>
  <webImageSrd>
    <address r:id="rId137"/>
    <blip r:id="rId138"/>
  </webImageSrd>
  <webImageSrd>
    <address r:id="rId139"/>
    <blip r:id="rId140"/>
  </webImageSrd>
  <webImageSrd>
    <address r:id="rId141"/>
    <blip r:id="rId142"/>
  </webImageSrd>
  <webImageSrd>
    <address r:id="rId143"/>
    <blip r:id="rId144"/>
  </webImageSrd>
  <webImageSrd>
    <address r:id="rId145"/>
    <blip r:id="rId146"/>
  </webImageSrd>
  <webImageSrd>
    <address r:id="rId147"/>
    <blip r:id="rId148"/>
  </webImageSrd>
  <webImageSrd>
    <address r:id="rId149"/>
    <blip r:id="rId150"/>
  </webImageSrd>
  <webImageSrd>
    <address r:id="rId151"/>
    <blip r:id="rId152"/>
  </webImageSrd>
  <webImageSrd>
    <address r:id="rId153"/>
    <blip r:id="rId154"/>
  </webImageSrd>
  <webImageSrd>
    <address r:id="rId155"/>
    <blip r:id="rId156"/>
  </webImageSrd>
  <webImageSrd>
    <address r:id="rId157"/>
    <blip r:id="rId158"/>
  </webImageSrd>
  <webImageSrd>
    <address r:id="rId159"/>
    <blip r:id="rId160"/>
  </webImageSrd>
  <webImageSrd>
    <address r:id="rId161"/>
    <blip r:id="rId162"/>
  </webImageSrd>
  <webImageSrd>
    <address r:id="rId163"/>
    <blip r:id="rId164"/>
  </webImageSrd>
  <webImageSrd>
    <address r:id="rId165"/>
    <blip r:id="rId166"/>
  </webImageSrd>
  <webImageSrd>
    <address r:id="rId167"/>
    <blip r:id="rId168"/>
  </webImageSrd>
  <webImageSrd>
    <address r:id="rId169"/>
    <blip r:id="rId170"/>
  </webImageSrd>
  <webImageSrd>
    <address r:id="rId171"/>
    <blip r:id="rId172"/>
  </webImageSrd>
  <webImageSrd>
    <address r:id="rId173"/>
    <blip r:id="rId174"/>
  </webImageSrd>
  <webImageSrd>
    <address r:id="rId175"/>
    <blip r:id="rId176"/>
  </webImageSrd>
  <webImageSrd>
    <address r:id="rId177"/>
    <blip r:id="rId178"/>
  </webImageSrd>
  <webImageSrd>
    <address r:id="rId179"/>
    <blip r:id="rId180"/>
  </webImageSrd>
  <webImageSrd>
    <address r:id="rId181"/>
    <blip r:id="rId182"/>
  </webImageSrd>
  <webImageSrd>
    <address r:id="rId183"/>
    <blip r:id="rId184"/>
  </webImageSrd>
  <webImageSrd>
    <address r:id="rId185"/>
    <blip r:id="rId186"/>
  </webImageSrd>
  <webImageSrd>
    <address r:id="rId187"/>
    <blip r:id="rId188"/>
  </webImageSrd>
  <webImageSrd>
    <address r:id="rId189"/>
    <blip r:id="rId190"/>
  </webImageSrd>
  <webImageSrd>
    <address r:id="rId191"/>
    <blip r:id="rId192"/>
  </webImageSrd>
  <webImageSrd>
    <address r:id="rId193"/>
    <blip r:id="rId194"/>
  </webImageSrd>
  <webImageSrd>
    <address r:id="rId195"/>
    <blip r:id="rId196"/>
  </webImageSrd>
  <webImageSrd>
    <address r:id="rId197"/>
    <blip r:id="rId198"/>
  </webImageSrd>
  <webImageSrd>
    <address r:id="rId199"/>
    <blip r:id="rId200"/>
  </webImageSrd>
  <webImageSrd>
    <address r:id="rId201"/>
    <blip r:id="rId202"/>
  </webImageSrd>
  <webImageSrd>
    <address r:id="rId203"/>
    <blip r:id="rId204"/>
  </webImageSrd>
  <webImageSrd>
    <address r:id="rId205"/>
    <blip r:id="rId206"/>
  </webImageSrd>
  <webImageSrd>
    <address r:id="rId207"/>
    <blip r:id="rId208"/>
  </webImageSrd>
  <webImageSrd>
    <address r:id="rId209"/>
    <blip r:id="rId210"/>
  </webImageSrd>
  <webImageSrd>
    <address r:id="rId211"/>
    <blip r:id="rId212"/>
  </webImageSrd>
  <webImageSrd>
    <address r:id="rId213"/>
    <blip r:id="rId214"/>
  </webImageSrd>
  <webImageSrd>
    <address r:id="rId215"/>
    <blip r:id="rId216"/>
  </webImageSrd>
  <webImageSrd>
    <address r:id="rId217"/>
    <blip r:id="rId218"/>
  </webImageSrd>
  <webImageSrd>
    <address r:id="rId219"/>
    <blip r:id="rId220"/>
  </webImageSrd>
  <webImageSrd>
    <address r:id="rId221"/>
    <blip r:id="rId222"/>
  </webImageSrd>
  <webImageSrd>
    <address r:id="rId223"/>
    <blip r:id="rId224"/>
  </webImageSrd>
  <webImageSrd>
    <address r:id="rId225"/>
    <blip r:id="rId226"/>
  </webImageSrd>
  <webImageSrd>
    <address r:id="rId227"/>
    <blip r:id="rId228"/>
  </webImageSrd>
  <webImageSrd>
    <address r:id="rId229"/>
    <blip r:id="rId230"/>
  </webImageSrd>
  <webImageSrd>
    <address r:id="rId231"/>
    <blip r:id="rId232"/>
  </webImageSrd>
  <webImageSrd>
    <address r:id="rId233"/>
    <blip r:id="rId234"/>
  </webImageSrd>
  <webImageSrd>
    <address r:id="rId235"/>
    <blip r:id="rId236"/>
  </webImageSrd>
  <webImageSrd>
    <address r:id="rId237"/>
    <blip r:id="rId238"/>
  </webImageSrd>
  <webImageSrd>
    <address r:id="rId239"/>
    <blip r:id="rId240"/>
  </webImageSrd>
  <webImageSrd>
    <address r:id="rId241"/>
    <blip r:id="rId242"/>
  </webImageSrd>
  <webImageSrd>
    <address r:id="rId243"/>
    <blip r:id="rId244"/>
  </webImageSrd>
  <webImageSrd>
    <address r:id="rId245"/>
    <blip r:id="rId246"/>
  </webImageSrd>
  <webImageSrd>
    <address r:id="rId247"/>
    <blip r:id="rId248"/>
  </webImageSrd>
  <webImageSrd>
    <address r:id="rId249"/>
    <blip r:id="rId250"/>
  </webImageSrd>
  <webImageSrd>
    <address r:id="rId251"/>
    <blip r:id="rId252"/>
  </webImageSrd>
  <webImageSrd>
    <address r:id="rId253"/>
    <blip r:id="rId254"/>
  </webImageSrd>
  <webImageSrd>
    <address r:id="rId255"/>
    <blip r:id="rId256"/>
  </webImageSrd>
  <webImageSrd>
    <address r:id="rId257"/>
    <blip r:id="rId258"/>
  </webImageSrd>
  <webImageSrd>
    <address r:id="rId259"/>
    <blip r:id="rId260"/>
  </webImageSrd>
  <webImageSrd>
    <address r:id="rId261"/>
    <blip r:id="rId262"/>
  </webImageSrd>
  <webImageSrd>
    <address r:id="rId263"/>
    <blip r:id="rId264"/>
  </webImageSrd>
  <webImageSrd>
    <address r:id="rId265"/>
    <blip r:id="rId266"/>
  </webImageSrd>
  <webImageSrd>
    <address r:id="rId267"/>
    <blip r:id="rId268"/>
  </webImageSrd>
  <webImageSrd>
    <address r:id="rId269"/>
    <blip r:id="rId270"/>
  </webImageSrd>
  <webImageSrd>
    <address r:id="rId271"/>
    <blip r:id="rId272"/>
  </webImageSrd>
  <webImageSrd>
    <address r:id="rId273"/>
    <blip r:id="rId274"/>
  </webImageSrd>
  <webImageSrd>
    <address r:id="rId275"/>
    <blip r:id="rId276"/>
  </webImageSrd>
  <webImageSrd>
    <address r:id="rId277"/>
    <blip r:id="rId278"/>
  </webImageSrd>
  <webImageSrd>
    <address r:id="rId279"/>
    <blip r:id="rId280"/>
  </webImageSrd>
  <webImageSrd>
    <address r:id="rId281"/>
    <blip r:id="rId282"/>
  </webImageSrd>
  <webImageSrd>
    <address r:id="rId283"/>
    <blip r:id="rId284"/>
  </webImageSrd>
  <webImageSrd>
    <address r:id="rId285"/>
    <blip r:id="rId286"/>
  </webImageSrd>
  <webImageSrd>
    <address r:id="rId287"/>
    <blip r:id="rId288"/>
  </webImageSrd>
  <webImageSrd>
    <address r:id="rId289"/>
    <blip r:id="rId290"/>
  </webImageSrd>
  <webImageSrd>
    <address r:id="rId291"/>
    <blip r:id="rId292"/>
  </webImageSrd>
  <webImageSrd>
    <address r:id="rId293"/>
    <blip r:id="rId294"/>
  </webImageSrd>
  <webImageSrd>
    <address r:id="rId295"/>
    <blip r:id="rId296"/>
  </webImageSrd>
  <webImageSrd>
    <address r:id="rId297"/>
    <blip r:id="rId298"/>
  </webImageSrd>
  <webImageSrd>
    <address r:id="rId299"/>
    <blip r:id="rId300"/>
  </webImageSrd>
  <webImageSrd>
    <address r:id="rId301"/>
    <blip r:id="rId302"/>
  </webImageSrd>
  <webImageSrd>
    <address r:id="rId303"/>
    <blip r:id="rId304"/>
  </webImageSrd>
  <webImageSrd>
    <address r:id="rId305"/>
    <blip r:id="rId306"/>
  </webImageSrd>
  <webImageSrd>
    <address r:id="rId307"/>
    <blip r:id="rId308"/>
  </webImageSrd>
  <webImageSrd>
    <address r:id="rId309"/>
    <blip r:id="rId310"/>
  </webImageSrd>
  <webImageSrd>
    <address r:id="rId311"/>
    <blip r:id="rId312"/>
  </webImageSrd>
  <webImageSrd>
    <address r:id="rId313"/>
    <blip r:id="rId314"/>
  </webImageSrd>
  <webImageSrd>
    <address r:id="rId315"/>
    <blip r:id="rId316"/>
  </webImageSrd>
  <webImageSrd>
    <address r:id="rId317"/>
    <blip r:id="rId318"/>
  </webImageSrd>
  <webImageSrd>
    <address r:id="rId319"/>
    <blip r:id="rId320"/>
  </webImageSrd>
  <webImageSrd>
    <address r:id="rId321"/>
    <blip r:id="rId322"/>
  </webImageSrd>
  <webImageSrd>
    <address r:id="rId323"/>
    <blip r:id="rId324"/>
  </webImageSrd>
  <webImageSrd>
    <address r:id="rId325"/>
    <blip r:id="rId326"/>
  </webImageSrd>
  <webImageSrd>
    <address r:id="rId327"/>
    <blip r:id="rId328"/>
  </webImageSrd>
  <webImageSrd>
    <address r:id="rId329"/>
    <blip r:id="rId330"/>
  </webImageSrd>
  <webImageSrd>
    <address r:id="rId331"/>
    <blip r:id="rId332"/>
  </webImageSrd>
  <webImageSrd>
    <address r:id="rId333"/>
    <blip r:id="rId334"/>
  </webImageSrd>
  <webImageSrd>
    <address r:id="rId335"/>
    <blip r:id="rId336"/>
  </webImageSrd>
</webImagesSrd>
</file>

<file path=xl/richData/rdrichvalue.xml><?xml version="1.0" encoding="utf-8"?>
<rvData xmlns="http://schemas.microsoft.com/office/spreadsheetml/2017/richdata" count="171">
  <rv s="0">
    <v>0</v>
    <v>1</v>
    <v>0</v>
    <v>33.642000000000003</v>
    <v>3</v>
    <v>41.957999999999998</v>
    <v>18PLS</v>
  </rv>
  <rv s="0">
    <v>1</v>
    <v>1</v>
    <v>0</v>
    <v>33.642000000000003</v>
    <v>3</v>
    <v>41.957999999999998</v>
    <v>19PL</v>
  </rv>
  <rv s="0">
    <v>2</v>
    <v>1</v>
    <v>0</v>
    <v>33.642000000000003</v>
    <v>3</v>
    <v>41.957999999999998</v>
    <v>19PLS</v>
  </rv>
  <rv s="0">
    <v>3</v>
    <v>1</v>
    <v>0</v>
    <v>33.642000000000003</v>
    <v>3</v>
    <v>41.957999999999998</v>
    <v>19TS</v>
  </rv>
  <rv s="0">
    <v>4</v>
    <v>1</v>
    <v>0</v>
    <v>33.642000000000003</v>
    <v>3</v>
    <v>41.957999999999998</v>
    <v>19UCL</v>
  </rv>
  <rv s="0">
    <v>5</v>
    <v>1</v>
    <v>0</v>
    <v>33.642000000000003</v>
    <v>3</v>
    <v>41.957999999999998</v>
    <v>20PL</v>
  </rv>
  <rv s="0">
    <v>6</v>
    <v>1</v>
    <v>0</v>
    <v>33.642000000000003</v>
    <v>3</v>
    <v>41.957999999999998</v>
    <v>20TS</v>
  </rv>
  <rv s="0">
    <v>7</v>
    <v>1</v>
    <v>0</v>
    <v>33.642000000000003</v>
    <v>3</v>
    <v>41.957999999999998</v>
    <v>20UCL</v>
  </rv>
  <rv s="0">
    <v>8</v>
    <v>1</v>
    <v>0</v>
    <v>33.642000000000003</v>
    <v>3</v>
    <v>41.957999999999998</v>
    <v>21PL</v>
  </rv>
  <rv s="0">
    <v>9</v>
    <v>1</v>
    <v>0</v>
    <v>33.642000000000003</v>
    <v>3</v>
    <v>41.957999999999998</v>
    <v>21TY-N</v>
  </rv>
  <rv s="0">
    <v>10</v>
    <v>1</v>
    <v>0</v>
    <v>33.642000000000003</v>
    <v>3</v>
    <v>41.957999999999998</v>
    <v>21UCL</v>
  </rv>
  <rv s="0">
    <v>11</v>
    <v>1</v>
    <v>0</v>
    <v>33.642000000000003</v>
    <v>3</v>
    <v>41.957999999999998</v>
    <v>22PL</v>
  </rv>
  <rv s="0">
    <v>12</v>
    <v>1</v>
    <v>0</v>
    <v>33.642000000000003</v>
    <v>3</v>
    <v>41.957999999999998</v>
    <v>22UCL</v>
  </rv>
  <rv s="0">
    <v>13</v>
    <v>1</v>
    <v>0</v>
    <v>33.642000000000003</v>
    <v>3</v>
    <v>41.957999999999998</v>
    <v>23HW</v>
  </rv>
  <rv s="0">
    <v>14</v>
    <v>1</v>
    <v>0</v>
    <v>33.642000000000003</v>
    <v>3</v>
    <v>41.957999999999998</v>
    <v>17LIVE</v>
  </rv>
  <rv s="0">
    <v>15</v>
    <v>1</v>
    <v>0</v>
    <v>33.642000000000003</v>
    <v>3</v>
    <v>41.957999999999998</v>
    <v>23NG</v>
  </rv>
  <rv s="0">
    <v>16</v>
    <v>1</v>
    <v>0</v>
    <v>33.642000000000003</v>
    <v>3</v>
    <v>41.957999999999998</v>
    <v>23PL</v>
  </rv>
  <rv s="0">
    <v>17</v>
    <v>1</v>
    <v>0</v>
    <v>33.642000000000003</v>
    <v>3</v>
    <v>41.957999999999998</v>
    <v>23UCL</v>
  </rv>
  <rv s="0">
    <v>18</v>
    <v>1</v>
    <v>0</v>
    <v>33.642000000000003</v>
    <v>3</v>
    <v>41.957999999999998</v>
    <v>24EP</v>
  </rv>
  <rv s="0">
    <v>19</v>
    <v>1</v>
    <v>0</v>
    <v>33.642000000000003</v>
    <v>3</v>
    <v>41.957999999999998</v>
    <v>24KB</v>
  </rv>
  <rv s="0">
    <v>20</v>
    <v>1</v>
    <v>0</v>
    <v>33.642000000000003</v>
    <v>3</v>
    <v>41.957999999999998</v>
    <v>18LIVE</v>
  </rv>
  <rv s="0">
    <v>21</v>
    <v>1</v>
    <v>0</v>
    <v>33.642000000000003</v>
    <v>3</v>
    <v>41.957999999999998</v>
    <v>24PL</v>
  </rv>
  <rv s="0">
    <v>22</v>
    <v>1</v>
    <v>0</v>
    <v>33.642000000000003</v>
    <v>3</v>
    <v>41.957999999999998</v>
    <v>24UCL</v>
  </rv>
  <rv s="0">
    <v>23</v>
    <v>1</v>
    <v>0</v>
    <v>33.642000000000003</v>
    <v>3</v>
    <v>41.957999999999998</v>
    <v>25DP</v>
  </rv>
  <rv s="0">
    <v>24</v>
    <v>1</v>
    <v>0</v>
    <v>33.642000000000003</v>
    <v>3</v>
    <v>41.957999999999998</v>
    <v>25FSL</v>
  </rv>
  <rv s="0">
    <v>25</v>
    <v>1</v>
    <v>0</v>
    <v>33.642000000000003</v>
    <v>3</v>
    <v>41.957999999999998</v>
    <v>25HR</v>
  </rv>
  <rv s="0">
    <v>26</v>
    <v>1</v>
    <v>0</v>
    <v>33.642000000000003</v>
    <v>3</v>
    <v>41.957999999999998</v>
    <v>25KB</v>
  </rv>
  <rv s="0">
    <v>27</v>
    <v>1</v>
    <v>0</v>
    <v>33.642000000000003</v>
    <v>3</v>
    <v>41.957999999999998</v>
    <v>19LIVE</v>
  </rv>
  <rv s="0">
    <v>28</v>
    <v>1</v>
    <v>0</v>
    <v>33.642000000000003</v>
    <v>3</v>
    <v>41.957999999999998</v>
    <v>25PL</v>
  </rv>
  <rv s="0">
    <v>29</v>
    <v>1</v>
    <v>0</v>
    <v>33.642000000000003</v>
    <v>3</v>
    <v>41.957999999999998</v>
    <v>25TY-N</v>
  </rv>
  <rv s="0">
    <v>30</v>
    <v>1</v>
    <v>0</v>
    <v>33.642000000000003</v>
    <v>3</v>
    <v>41.957999999999998</v>
    <v>25TY</v>
  </rv>
  <rv s="0">
    <v>31</v>
    <v>1</v>
    <v>0</v>
    <v>33.642000000000003</v>
    <v>3</v>
    <v>41.957999999999998</v>
    <v>25TS</v>
  </rv>
  <rv s="0">
    <v>32</v>
    <v>1</v>
    <v>0</v>
    <v>33.642000000000003</v>
    <v>3</v>
    <v>41.957999999999998</v>
    <v>25UCL</v>
  </rv>
  <rv s="0">
    <v>33</v>
    <v>1</v>
    <v>0</v>
    <v>33.642000000000003</v>
    <v>3</v>
    <v>41.957999999999998</v>
    <v>26HR</v>
  </rv>
  <rv s="0">
    <v>34</v>
    <v>1</v>
    <v>0</v>
    <v>33.642000000000003</v>
    <v>3</v>
    <v>41.957999999999998</v>
    <v>26TY</v>
  </rv>
  <rv s="0">
    <v>35</v>
    <v>1</v>
    <v>0</v>
    <v>33.642000000000003</v>
    <v>3</v>
    <v>41.957999999999998</v>
    <v>26TY-N</v>
  </rv>
  <rv s="0">
    <v>36</v>
    <v>1</v>
    <v>0</v>
    <v>33.642000000000003</v>
    <v>3</v>
    <v>41.957999999999998</v>
    <v>BDO</v>
  </rv>
  <rv s="0">
    <v>37</v>
    <v>1</v>
    <v>0</v>
    <v>33.642000000000003</v>
    <v>3</v>
    <v>41.957999999999998</v>
    <v>BLD</v>
  </rv>
  <rv s="0">
    <v>38</v>
    <v>1</v>
    <v>0</v>
    <v>33.642000000000003</v>
    <v>3</v>
    <v>41.957999999999998</v>
    <v>BOE21</v>
  </rv>
  <rv s="0">
    <v>39</v>
    <v>1</v>
    <v>0</v>
    <v>33.642000000000003</v>
    <v>3</v>
    <v>41.957999999999998</v>
    <v>BTB</v>
  </rv>
  <rv s="0">
    <v>40</v>
    <v>1</v>
    <v>0</v>
    <v>33.642000000000003</v>
    <v>3</v>
    <v>41.957999999999998</v>
    <v>BWC</v>
  </rv>
  <rv s="0">
    <v>41</v>
    <v>1</v>
    <v>0</v>
    <v>33.642000000000003</v>
    <v>3</v>
    <v>41.957999999999998</v>
    <v>CAP</v>
  </rv>
  <rv s="0">
    <v>42</v>
    <v>1</v>
    <v>0</v>
    <v>33.642000000000003</v>
    <v>3</v>
    <v>41.957999999999998</v>
    <v>CC</v>
  </rv>
  <rv s="0">
    <v>43</v>
    <v>1</v>
    <v>0</v>
    <v>33.642000000000003</v>
    <v>3</v>
    <v>41.957999999999998</v>
    <v>CH</v>
  </rv>
  <rv s="0">
    <v>44</v>
    <v>1</v>
    <v>0</v>
    <v>33.642000000000003</v>
    <v>3</v>
    <v>41.957999999999998</v>
    <v>COC</v>
  </rv>
  <rv s="0">
    <v>45</v>
    <v>1</v>
    <v>0</v>
    <v>33.642000000000003</v>
    <v>3</v>
    <v>41.957999999999998</v>
    <v>CU</v>
  </rv>
  <rv s="0">
    <v>46</v>
    <v>1</v>
    <v>0</v>
    <v>33.642000000000003</v>
    <v>3</v>
    <v>41.957999999999998</v>
    <v>DC</v>
  </rv>
  <rv s="0">
    <v>47</v>
    <v>1</v>
    <v>0</v>
    <v>33.642000000000003</v>
    <v>3</v>
    <v>41.957999999999998</v>
    <v>DCB</v>
  </rv>
  <rv s="0">
    <v>48</v>
    <v>1</v>
    <v>0</v>
    <v>33.642000000000003</v>
    <v>3</v>
    <v>41.957999999999998</v>
    <v>EBS</v>
  </rv>
  <rv s="0">
    <v>49</v>
    <v>1</v>
    <v>0</v>
    <v>33.642000000000003</v>
    <v>3</v>
    <v>41.957999999999998</v>
    <v>EU24</v>
  </rv>
  <rv s="0">
    <v>50</v>
    <v>1</v>
    <v>0</v>
    <v>33.642000000000003</v>
    <v>3</v>
    <v>41.957999999999998</v>
    <v>FA</v>
  </rv>
  <rv s="0">
    <v>51</v>
    <v>1</v>
    <v>0</v>
    <v>33.642000000000003</v>
    <v>3</v>
    <v>41.957999999999998</v>
    <v>FAC</v>
  </rv>
  <rv s="0">
    <v>52</v>
    <v>1</v>
    <v>0</v>
    <v>33.642000000000003</v>
    <v>3</v>
    <v>41.957999999999998</v>
    <v>GR</v>
  </rv>
  <rv s="0">
    <v>53</v>
    <v>1</v>
    <v>0</v>
    <v>33.642000000000003</v>
    <v>3</v>
    <v>41.957999999999998</v>
    <v>GRU</v>
  </rv>
  <rv s="0">
    <v>54</v>
    <v>1</v>
    <v>0</v>
    <v>33.642000000000003</v>
    <v>3</v>
    <v>41.957999999999998</v>
    <v>HG</v>
  </rv>
  <rv s="0">
    <v>55</v>
    <v>1</v>
    <v>0</v>
    <v>33.642000000000003</v>
    <v>3</v>
    <v>41.957999999999998</v>
    <v>HOT</v>
  </rv>
  <rv s="0">
    <v>56</v>
    <v>1</v>
    <v>0</v>
    <v>33.642000000000003</v>
    <v>3</v>
    <v>41.957999999999998</v>
    <v>ICON</v>
  </rv>
  <rv s="0">
    <v>57</v>
    <v>1</v>
    <v>0</v>
    <v>33.642000000000003</v>
    <v>3</v>
    <v>41.957999999999998</v>
    <v>JVA</v>
  </rv>
  <rv s="0">
    <v>58</v>
    <v>1</v>
    <v>0</v>
    <v>33.642000000000003</v>
    <v>3</v>
    <v>41.957999999999998</v>
    <v>LD</v>
  </rv>
  <rv s="0">
    <v>59</v>
    <v>1</v>
    <v>0</v>
    <v>33.642000000000003</v>
    <v>3</v>
    <v>41.957999999999998</v>
    <v>LE</v>
  </rv>
  <rv s="0">
    <v>60</v>
    <v>1</v>
    <v>0</v>
    <v>33.642000000000003</v>
    <v>3</v>
    <v>41.957999999999998</v>
    <v>LH</v>
  </rv>
  <rv s="0">
    <v>61</v>
    <v>1</v>
    <v>0</v>
    <v>33.642000000000003</v>
    <v>3</v>
    <v>41.957999999999998</v>
    <v>LN</v>
  </rv>
  <rv s="0">
    <v>62</v>
    <v>1</v>
    <v>0</v>
    <v>33.642000000000003</v>
    <v>3</v>
    <v>41.957999999999998</v>
    <v>LOL</v>
  </rv>
  <rv s="0">
    <v>63</v>
    <v>1</v>
    <v>0</v>
    <v>33.642000000000003</v>
    <v>3</v>
    <v>41.957999999999998</v>
    <v>MC</v>
  </rv>
  <rv s="0">
    <v>64</v>
    <v>1</v>
    <v>0</v>
    <v>33.642000000000003</v>
    <v>3</v>
    <v>41.957999999999998</v>
    <v>MDL</v>
  </rv>
  <rv s="0">
    <v>65</v>
    <v>1</v>
    <v>0</v>
    <v>33.642000000000003</v>
    <v>3</v>
    <v>41.957999999999998</v>
    <v>MOG</v>
  </rv>
  <rv s="0">
    <v>66</v>
    <v>1</v>
    <v>0</v>
    <v>33.642000000000003</v>
    <v>3</v>
    <v>41.957999999999998</v>
    <v>NHD</v>
  </rv>
  <rv s="0">
    <v>67</v>
    <v>1</v>
    <v>0</v>
    <v>33.642000000000003</v>
    <v>3</v>
    <v>41.957999999999998</v>
    <v>NO7</v>
  </rv>
  <rv s="0">
    <v>68</v>
    <v>1</v>
    <v>0</v>
    <v>33.642000000000003</v>
    <v>3</v>
    <v>41.957999999999998</v>
    <v>OTW</v>
  </rv>
  <rv s="0">
    <v>69</v>
    <v>1</v>
    <v>0</v>
    <v>33.642000000000003</v>
    <v>3</v>
    <v>41.957999999999998</v>
    <v>RMCF</v>
  </rv>
  <rv s="0">
    <v>70</v>
    <v>1</v>
    <v>0</v>
    <v>33.642000000000003</v>
    <v>3</v>
    <v>41.957999999999998</v>
    <v>RTN</v>
  </rv>
  <rv s="0">
    <v>71</v>
    <v>1</v>
    <v>0</v>
    <v>33.642000000000003</v>
    <v>3</v>
    <v>41.957999999999998</v>
    <v>TB</v>
  </rv>
  <rv s="0">
    <v>72</v>
    <v>1</v>
    <v>0</v>
    <v>33.642000000000003</v>
    <v>3</v>
    <v>41.957999999999998</v>
    <v>TC</v>
  </rv>
  <rv s="0">
    <v>73</v>
    <v>1</v>
    <v>0</v>
    <v>33.642000000000003</v>
    <v>3</v>
    <v>41.957999999999998</v>
    <v>TM</v>
  </rv>
  <rv s="0">
    <v>74</v>
    <v>1</v>
    <v>0</v>
    <v>33.642000000000003</v>
    <v>3</v>
    <v>41.957999999999998</v>
    <v>TT</v>
  </rv>
  <rv s="0">
    <v>75</v>
    <v>1</v>
    <v>0</v>
    <v>33.642000000000003</v>
    <v>3</v>
    <v>41.957999999999998</v>
    <v>UP</v>
  </rv>
  <rv s="0">
    <v>76</v>
    <v>1</v>
    <v>0</v>
    <v>33.642000000000003</v>
    <v>3</v>
    <v>41.957999999999998</v>
    <v>UT</v>
  </rv>
  <rv s="0">
    <v>77</v>
    <v>1</v>
    <v>0</v>
    <v>33.642000000000003</v>
    <v>3</v>
    <v>41.957999999999998</v>
    <v>VTR</v>
  </rv>
  <rv s="0">
    <v>78</v>
    <v>1</v>
    <v>0</v>
    <v>33.642000000000003</v>
    <v>3</v>
    <v>41.957999999999998</v>
    <v>WB</v>
  </rv>
  <rv s="0">
    <v>79</v>
    <v>1</v>
    <v>0</v>
    <v>33.642000000000003</v>
    <v>3</v>
    <v>41.957999999999998</v>
    <v>WC22</v>
  </rv>
  <rv s="0">
    <v>80</v>
    <v>1</v>
    <v>0</v>
    <v>33.642000000000003</v>
    <v>3</v>
    <v>41.957999999999998</v>
    <v>WS</v>
  </rv>
  <rv s="0">
    <v>81</v>
    <v>1</v>
    <v>0</v>
    <v>33.642000000000003</v>
    <v>3</v>
    <v>41.957999999999998</v>
    <v>20LIVE</v>
  </rv>
  <rv s="0">
    <v>82</v>
    <v>1</v>
    <v>0</v>
    <v>33.642000000000003</v>
    <v>3</v>
    <v>41.957999999999998</v>
    <v>21LIVE</v>
  </rv>
  <rv s="0">
    <v>83</v>
    <v>1</v>
    <v>0</v>
    <v>33.642000000000003</v>
    <v>3</v>
    <v>41.957999999999998</v>
    <v>LKI</v>
  </rv>
  <rv s="0">
    <v>84</v>
    <v>1</v>
    <v>0</v>
    <v>33.642000000000003</v>
    <v>3</v>
    <v>41.957999999999998</v>
    <v>22LIVE</v>
  </rv>
  <rv s="0">
    <v>85</v>
    <v>1</v>
    <v>0</v>
    <v>33.642000000000003</v>
    <v>3</v>
    <v>41.957999999999998</v>
    <v>23LIVE</v>
  </rv>
  <rv s="0">
    <v>86</v>
    <v>1</v>
    <v>0</v>
    <v>33.642000000000003</v>
    <v>3</v>
    <v>41.957999999999998</v>
    <v>24LIVE</v>
  </rv>
  <rv s="0">
    <v>87</v>
    <v>1</v>
    <v>0</v>
    <v>33.642000000000003</v>
    <v>3</v>
    <v>41.957999999999998</v>
    <v>18PL</v>
  </rv>
  <rv s="0">
    <v>88</v>
    <v>1</v>
    <v>0</v>
    <v>33.642000000000003</v>
    <v>3</v>
    <v>41.957999999999998</v>
    <v>25LIVE</v>
  </rv>
  <rv s="0">
    <v>89</v>
    <v>1</v>
    <v>0</v>
    <v>33.642000000000003</v>
    <v>3</v>
    <v>41.957999999999998</v>
    <v>21KB</v>
  </rv>
  <rv s="0">
    <v>90</v>
    <v>1</v>
    <v>0</v>
    <v>33.642000000000003</v>
    <v>3</v>
    <v>41.957999999999998</v>
    <v>23KB</v>
  </rv>
  <rv s="0">
    <v>91</v>
    <v>1</v>
    <v>0</v>
    <v>33.642000000000003</v>
    <v>3</v>
    <v>41.957999999999998</v>
    <v>20KL</v>
  </rv>
  <rv s="0">
    <v>92</v>
    <v>1</v>
    <v>0</v>
    <v>33.642000000000003</v>
    <v>3</v>
    <v>41.957999999999998</v>
    <v>20KB</v>
  </rv>
  <rv s="0">
    <v>93</v>
    <v>1</v>
    <v>0</v>
    <v>33.642000000000003</v>
    <v>3</v>
    <v>41.957999999999998</v>
    <v>22KB</v>
  </rv>
  <rv s="0">
    <v>94</v>
    <v>1</v>
    <v>0</v>
    <v>33.642000000000003</v>
    <v>3</v>
    <v>41.957999999999998</v>
    <v>18KFA</v>
  </rv>
  <rv s="0">
    <v>95</v>
    <v>1</v>
    <v>0</v>
    <v>33.642000000000003</v>
    <v>3</v>
    <v>41.957999999999998</v>
    <v>21KL</v>
  </rv>
  <rv s="0">
    <v>96</v>
    <v>1</v>
    <v>0</v>
    <v>33.642000000000003</v>
    <v>3</v>
    <v>41.957999999999998</v>
    <v>TKL</v>
  </rv>
  <rv s="0">
    <v>97</v>
    <v>1</v>
    <v>0</v>
    <v>33.642000000000003</v>
    <v>3</v>
    <v>41.957999999999998</v>
    <v>24KL</v>
  </rv>
  <rv s="0">
    <v>98</v>
    <v>1</v>
    <v>0</v>
    <v>33.642000000000003</v>
    <v>3</v>
    <v>41.957999999999998</v>
    <v>23KFA</v>
  </rv>
  <rv s="0">
    <v>99</v>
    <v>1</v>
    <v>0</v>
    <v>33.642000000000003</v>
    <v>3</v>
    <v>41.957999999999998</v>
    <v>21KFA</v>
  </rv>
  <rv s="0">
    <v>100</v>
    <v>1</v>
    <v>0</v>
    <v>33.642000000000003</v>
    <v>3</v>
    <v>41.957999999999998</v>
    <v>19KFA</v>
  </rv>
  <rv s="0">
    <v>101</v>
    <v>1</v>
    <v>0</v>
    <v>33.642000000000003</v>
    <v>3</v>
    <v>41.957999999999998</v>
    <v>23KL</v>
  </rv>
  <rv s="0">
    <v>102</v>
    <v>1</v>
    <v>0</v>
    <v>33.642000000000003</v>
    <v>3</v>
    <v>41.957999999999998</v>
    <v>22KL</v>
  </rv>
  <rv s="0">
    <v>103</v>
    <v>1</v>
    <v>0</v>
    <v>33.642000000000003</v>
    <v>3</v>
    <v>41.957999999999998</v>
    <v>25KL</v>
  </rv>
  <rv s="0">
    <v>104</v>
    <v>1</v>
    <v>0</v>
    <v>33.642000000000003</v>
    <v>3</v>
    <v>41.957999999999998</v>
    <v>2012KH</v>
  </rv>
  <rv s="0">
    <v>105</v>
    <v>1</v>
    <v>0</v>
    <v>33.642000000000003</v>
    <v>3</v>
    <v>41.957999999999998</v>
    <v>22KFA</v>
  </rv>
  <rv s="0">
    <v>106</v>
    <v>1</v>
    <v>0</v>
    <v>33.642000000000003</v>
    <v>3</v>
    <v>41.957999999999998</v>
    <v>TKI</v>
  </rv>
  <rv s="0">
    <v>107</v>
    <v>1</v>
    <v>0</v>
    <v>33.642000000000003</v>
    <v>3</v>
    <v>41.957999999999998</v>
    <v>23TS</v>
  </rv>
  <rv s="0">
    <v>108</v>
    <v>1</v>
    <v>0</v>
    <v>33.642000000000003</v>
    <v>3</v>
    <v>41.957999999999998</v>
    <v>22TS</v>
  </rv>
  <rv s="0">
    <v>109</v>
    <v>1</v>
    <v>0</v>
    <v>33.642000000000003</v>
    <v>3</v>
    <v>41.957999999999998</v>
    <v>24TS</v>
  </rv>
  <rv s="0">
    <v>110</v>
    <v>1</v>
    <v>0</v>
    <v>33.642000000000003</v>
    <v>3</v>
    <v>41.957999999999998</v>
    <v>21TS</v>
  </rv>
  <rv s="0">
    <v>111</v>
    <v>1</v>
    <v>0</v>
    <v>33.642000000000003</v>
    <v>3</v>
    <v>41.957999999999998</v>
    <v>20TY</v>
  </rv>
  <rv s="0">
    <v>112</v>
    <v>1</v>
    <v>0</v>
    <v>33.642000000000003</v>
    <v>3</v>
    <v>41.957999999999998</v>
    <v>24TY-N</v>
  </rv>
  <rv s="0">
    <v>113</v>
    <v>1</v>
    <v>0</v>
    <v>33.642000000000003</v>
    <v>3</v>
    <v>41.957999999999998</v>
    <v>21TY</v>
  </rv>
  <rv s="0">
    <v>114</v>
    <v>1</v>
    <v>0</v>
    <v>33.642000000000003</v>
    <v>3</v>
    <v>41.957999999999998</v>
    <v>19TY</v>
  </rv>
  <rv s="0">
    <v>115</v>
    <v>1</v>
    <v>0</v>
    <v>33.642000000000003</v>
    <v>3</v>
    <v>41.957999999999998</v>
    <v>23TY</v>
  </rv>
  <rv s="0">
    <v>116</v>
    <v>1</v>
    <v>0</v>
    <v>33.642000000000003</v>
    <v>3</v>
    <v>41.957999999999998</v>
    <v>24TY</v>
  </rv>
  <rv s="0">
    <v>117</v>
    <v>1</v>
    <v>0</v>
    <v>33.642000000000003</v>
    <v>3</v>
    <v>41.957999999999998</v>
    <v>22TY-N</v>
  </rv>
  <rv s="0">
    <v>118</v>
    <v>1</v>
    <v>0</v>
    <v>33.642000000000003</v>
    <v>3</v>
    <v>41.957999999999998</v>
    <v>18TY</v>
  </rv>
  <rv s="0">
    <v>119</v>
    <v>1</v>
    <v>0</v>
    <v>33.642000000000003</v>
    <v>3</v>
    <v>41.957999999999998</v>
    <v>23TY-N</v>
  </rv>
  <rv s="0">
    <v>120</v>
    <v>1</v>
    <v>0</v>
    <v>33.642000000000003</v>
    <v>3</v>
    <v>41.957999999999998</v>
    <v>22TY</v>
  </rv>
  <rv s="0">
    <v>121</v>
    <v>1</v>
    <v>0</v>
    <v>33.642000000000003</v>
    <v>3</v>
    <v>41.957999999999998</v>
    <v>20TY-N</v>
  </rv>
  <rv s="0">
    <v>122</v>
    <v>1</v>
    <v>0</v>
    <v>33.642000000000003</v>
    <v>3</v>
    <v>41.957999999999998</v>
    <v>MCI</v>
  </rv>
  <rv s="0">
    <v>123</v>
    <v>1</v>
    <v>0</v>
    <v>33.642000000000003</v>
    <v>3</v>
    <v>41.957999999999998</v>
    <v>21NG</v>
  </rv>
  <rv s="0">
    <v>124</v>
    <v>1</v>
    <v>0</v>
    <v>33.642000000000003</v>
    <v>3</v>
    <v>41.957999999999998</v>
    <v>20NG</v>
  </rv>
  <rv s="0">
    <v>125</v>
    <v>1</v>
    <v>0</v>
    <v>33.642000000000003</v>
    <v>3</v>
    <v>41.957999999999998</v>
    <v>22NG</v>
  </rv>
  <rv s="0">
    <v>126</v>
    <v>1</v>
    <v>0</v>
    <v>33.642000000000003</v>
    <v>3</v>
    <v>41.957999999999998</v>
    <v>LIVA</v>
  </rv>
  <rv s="0">
    <v>127</v>
    <v>1</v>
    <v>0</v>
    <v>33.642000000000003</v>
    <v>3</v>
    <v>41.957999999999998</v>
    <v>CFA</v>
  </rv>
  <rv s="0">
    <v>128</v>
    <v>1</v>
    <v>0</v>
    <v>33.642000000000003</v>
    <v>3</v>
    <v>41.957999999999998</v>
    <v>19NG</v>
  </rv>
  <rv s="0">
    <v>129</v>
    <v>1</v>
    <v>0</v>
    <v>33.642000000000003</v>
    <v>3</v>
    <v>41.957999999999998</v>
    <v>24HR</v>
  </rv>
  <rv s="0">
    <v>130</v>
    <v>1</v>
    <v>0</v>
    <v>33.642000000000003</v>
    <v>3</v>
    <v>41.957999999999998</v>
    <v>NTG</v>
  </rv>
  <rv s="0">
    <v>131</v>
    <v>1</v>
    <v>0</v>
    <v>33.642000000000003</v>
    <v>3</v>
    <v>41.957999999999998</v>
    <v>23HR</v>
  </rv>
  <rv s="0">
    <v>132</v>
    <v>1</v>
    <v>0</v>
    <v>33.642000000000003</v>
    <v>3</v>
    <v>41.957999999999998</v>
    <v>22HR</v>
  </rv>
  <rv s="0">
    <v>133</v>
    <v>1</v>
    <v>0</v>
    <v>33.642000000000003</v>
    <v>3</v>
    <v>41.957999999999998</v>
    <v>FCA</v>
  </rv>
  <rv s="0">
    <v>134</v>
    <v>1</v>
    <v>0</v>
    <v>33.642000000000003</v>
    <v>3</v>
    <v>41.957999999999998</v>
    <v>SPL</v>
  </rv>
  <rv s="0">
    <v>135</v>
    <v>1</v>
    <v>0</v>
    <v>33.642000000000003</v>
    <v>3</v>
    <v>41.957999999999998</v>
    <v>JNM</v>
  </rv>
  <rv s="0">
    <v>136</v>
    <v>1</v>
    <v>0</v>
    <v>33.642000000000003</v>
    <v>3</v>
    <v>41.957999999999998</v>
    <v>HRT</v>
  </rv>
  <rv s="0">
    <v>137</v>
    <v>1</v>
    <v>0</v>
    <v>33.642000000000003</v>
    <v>3</v>
    <v>41.957999999999998</v>
    <v>ICONMATCH</v>
  </rv>
  <rv s="0">
    <v>138</v>
    <v>1</v>
    <v>0</v>
    <v>33.642000000000003</v>
    <v>3</v>
    <v>41.957999999999998</v>
    <v>TM(제한)</v>
  </rv>
  <rv s="0">
    <v>139</v>
    <v>1</v>
    <v>0</v>
    <v>33.642000000000003</v>
    <v>3</v>
    <v>41.957999999999998</v>
    <v>25IM</v>
  </rv>
  <rv s="0">
    <v>140</v>
    <v>1</v>
    <v>0</v>
    <v>33.642000000000003</v>
    <v>3</v>
    <v>41.957999999999998</v>
    <v>WG</v>
  </rv>
  <rv s="0">
    <v>141</v>
    <v>1</v>
    <v>0</v>
    <v>33.642000000000003</v>
    <v>3</v>
    <v>41.957999999999998</v>
    <v>KHD</v>
  </rv>
  <rv s="1">
    <v>9</v>
    <v>0</v>
  </rv>
  <rv s="0">
    <v>142</v>
    <v>1</v>
    <v>0</v>
    <v>42</v>
    <v>3</v>
    <v>42</v>
    <v>GK공중볼장악</v>
  </rv>
  <rv s="0">
    <v>143</v>
    <v>1</v>
    <v>0</v>
    <v>42</v>
    <v>3</v>
    <v>42</v>
    <v>GK빠른반응</v>
  </rv>
  <rv s="0">
    <v>144</v>
    <v>5</v>
    <v>0</v>
    <v>33.642000000000003</v>
    <v>3</v>
    <v>41.957999999999998</v>
    <v>타이탄</v>
  </rv>
  <rv s="0">
    <v>145</v>
    <v>1</v>
    <v>0</v>
    <v>42</v>
    <v>3</v>
    <v>42</v>
    <v>두개의심장</v>
  </rv>
  <rv s="0">
    <v>142</v>
    <v>5</v>
    <v>0</v>
    <v>33.642000000000003</v>
    <v>3</v>
    <v>41.957999999999998</v>
    <v>GK공중볼장악</v>
  </rv>
  <rv s="0">
    <v>146</v>
    <v>1</v>
    <v>0</v>
    <v>42</v>
    <v>3</v>
    <v>42</v>
    <v>라인브레이커</v>
  </rv>
  <rv s="0">
    <v>147</v>
    <v>1</v>
    <v>0</v>
    <v>42</v>
    <v>3</v>
    <v>42</v>
    <v>블로커</v>
  </rv>
  <rv s="0">
    <v>148</v>
    <v>1</v>
    <v>0</v>
    <v>42</v>
    <v>3</v>
    <v>42</v>
    <v>스피드스터</v>
  </rv>
  <rv s="0">
    <v>149</v>
    <v>1</v>
    <v>0</v>
    <v>42</v>
    <v>3</v>
    <v>42</v>
    <v>아크로바틱</v>
  </rv>
  <rv s="0">
    <v>150</v>
    <v>1</v>
    <v>0</v>
    <v>42</v>
    <v>3</v>
    <v>42</v>
    <v>와일드태클러</v>
  </rv>
  <rv s="0">
    <v>151</v>
    <v>1</v>
    <v>0</v>
    <v>42</v>
    <v>3</v>
    <v>42</v>
    <v>체이서</v>
  </rv>
  <rv s="0">
    <v>152</v>
    <v>1</v>
    <v>0</v>
    <v>42</v>
    <v>3</v>
    <v>42</v>
    <v>커맨더</v>
  </rv>
  <rv s="0">
    <v>153</v>
    <v>1</v>
    <v>0</v>
    <v>42</v>
    <v>3</v>
    <v>42</v>
    <v>크로스포쳐</v>
  </rv>
  <rv s="0">
    <v>144</v>
    <v>1</v>
    <v>0</v>
    <v>42</v>
    <v>3</v>
    <v>42</v>
    <v>타이탄</v>
  </rv>
  <rv s="0">
    <v>154</v>
    <v>1</v>
    <v>0</v>
    <v>42</v>
    <v>3</v>
    <v>42</v>
    <v>파이터</v>
  </rv>
  <rv s="0">
    <v>155</v>
    <v>1</v>
    <v>0</v>
    <v>30.6</v>
    <v>3</v>
    <v>49.5</v>
    <v>13</v>
  </rv>
  <rv s="0">
    <v>156</v>
    <v>1</v>
    <v>0</v>
    <v>30.6</v>
    <v>3</v>
    <v>49.5</v>
    <v>12</v>
  </rv>
  <rv s="0">
    <v>157</v>
    <v>1</v>
    <v>0</v>
    <v>30.6</v>
    <v>3</v>
    <v>49.5</v>
    <v>11</v>
  </rv>
  <rv s="0">
    <v>158</v>
    <v>1</v>
    <v>0</v>
    <v>30.6</v>
    <v>3</v>
    <v>49.5</v>
    <v>10</v>
  </rv>
  <rv s="0">
    <v>159</v>
    <v>1</v>
    <v>0</v>
    <v>30.6</v>
    <v>3</v>
    <v>49.5</v>
    <v>9</v>
  </rv>
  <rv s="0">
    <v>160</v>
    <v>1</v>
    <v>0</v>
    <v>30.6</v>
    <v>3</v>
    <v>49.5</v>
    <v>8</v>
  </rv>
  <rv s="0">
    <v>161</v>
    <v>1</v>
    <v>0</v>
    <v>30.6</v>
    <v>3</v>
    <v>49.5</v>
    <v>7</v>
  </rv>
  <rv s="0">
    <v>162</v>
    <v>1</v>
    <v>0</v>
    <v>30.6</v>
    <v>3</v>
    <v>49.5</v>
    <v>6</v>
  </rv>
  <rv s="0">
    <v>163</v>
    <v>1</v>
    <v>0</v>
    <v>30.6</v>
    <v>3</v>
    <v>49.5</v>
    <v>5</v>
  </rv>
  <rv s="0">
    <v>164</v>
    <v>1</v>
    <v>0</v>
    <v>30.6</v>
    <v>3</v>
    <v>49.5</v>
    <v>4</v>
  </rv>
  <rv s="0">
    <v>165</v>
    <v>1</v>
    <v>0</v>
    <v>30.6</v>
    <v>3</v>
    <v>49.5</v>
    <v>3</v>
  </rv>
  <rv s="0">
    <v>166</v>
    <v>1</v>
    <v>0</v>
    <v>30.6</v>
    <v>3</v>
    <v>49.5</v>
    <v>2</v>
  </rv>
  <rv s="0">
    <v>167</v>
    <v>1</v>
    <v>0</v>
    <v>30.6</v>
    <v>3</v>
    <v>49.5</v>
    <v>1</v>
  </rv>
</rvData>
</file>

<file path=xl/richData/rdrichvaluestructure.xml><?xml version="1.0" encoding="utf-8"?>
<rvStructures xmlns="http://schemas.microsoft.com/office/spreadsheetml/2017/richdata" count="2">
  <s t="_webimage">
    <k n="WebImageIdentifier" t="i"/>
    <k n="CalcOrigin" t="i"/>
    <k n="ComputedImage" t="b"/>
    <k n="ImageHeight"/>
    <k n="ImageSizing" t="i"/>
    <k n="ImageWidth"/>
    <k n="Text" t="s"/>
  </s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578D92-75E1-4B10-84E5-2E669306EB83}" name="원본데이터" displayName="원본데이터" ref="A1:A115" totalsRowShown="0" headerRowDxfId="19" dataDxfId="18">
  <autoFilter ref="A1:A115" xr:uid="{A2578D92-75E1-4B10-84E5-2E669306EB83}"/>
  <sortState xmlns:xlrd2="http://schemas.microsoft.com/office/spreadsheetml/2017/richdata2" ref="A2:A115">
    <sortCondition ref="A1:A115"/>
  </sortState>
  <tableColumns count="1">
    <tableColumn id="1" xr3:uid="{3C8EB604-08A6-4486-86F6-08D2007998B8}" name="선수이름ID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F8D814-53FB-49C4-A388-42C73649E083}" name="시즌이미지" displayName="시즌이미지" ref="A1:F153" totalsRowShown="0" headerRowDxfId="16" headerRowBorderDxfId="15" tableBorderDxfId="14" totalsRowBorderDxfId="13">
  <autoFilter ref="A1:F153" xr:uid="{2B2AAC5B-2380-473C-AC96-4F576EB09F6C}"/>
  <tableColumns count="6">
    <tableColumn id="1" xr3:uid="{B5057F77-B006-40C8-AA46-FFDF001AD26E}" name="파일명" dataDxfId="12"/>
    <tableColumn id="2" xr3:uid="{6BBABBCE-F8E0-4E31-88D1-8455473C21C7}" name="파일ID" dataDxfId="11"/>
    <tableColumn id="3" xr3:uid="{1968CA4C-8BDB-48F1-B6A5-0627E19AC014}" name="IMAGE함수용주소" dataDxfId="10"/>
    <tableColumn id="4" xr3:uid="{F35D994F-4FDB-47AC-9867-0BF6D1B77C1C}" name="함수용주소를 DIRECT주소로 변경" dataDxfId="9">
      <calculatedColumnFormula>"https://lh3.googleusercontent.com/d/" &amp; 시즌이미지[[#This Row],[파일ID]]</calculatedColumnFormula>
    </tableColumn>
    <tableColumn id="8" xr3:uid="{2D3C4655-BCF3-4D13-83A4-7E880EC485B1}" name="대체텍스트" dataDxfId="8">
      <calculatedColumnFormula>SUBSTITUTE(시즌이미지[[#This Row],[파일명]], ".png","")</calculatedColumnFormula>
    </tableColumn>
    <tableColumn id="5" xr3:uid="{B8A14A2F-525E-4419-B5F7-D70869035F77}" name="시즌" dataDxfId="7">
      <calculatedColumnFormula>_xlfn.IMAGE(시즌이미지[[#This Row],[함수용주소를 DIRECT주소로 변경]],시즌이미지[[#This Row],[대체텍스트]],3,33.642,41.958)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CD0B8E-D414-4E40-926D-1D8D1706F126}" name="신특이미지" displayName="신특이미지" ref="A1:F14" totalsRowShown="0">
  <autoFilter ref="A1:F14" xr:uid="{2B2AAC5B-2380-473C-AC96-4F576EB09F6C}"/>
  <sortState xmlns:xlrd2="http://schemas.microsoft.com/office/spreadsheetml/2017/richdata2" ref="A2:F14">
    <sortCondition ref="A1:A14"/>
  </sortState>
  <tableColumns count="6">
    <tableColumn id="1" xr3:uid="{163B702E-4144-4E4C-BEA5-2CC199317098}" name="파일명"/>
    <tableColumn id="2" xr3:uid="{701F62C4-D692-4408-87E3-312EBE623EB2}" name="파일ID"/>
    <tableColumn id="3" xr3:uid="{8F7EEC18-255E-40FE-8EF7-E29C81B7E67C}" name="IMAGE함수용주소"/>
    <tableColumn id="4" xr3:uid="{135B69D9-1468-47C5-9B74-E1CABE6413D4}" name="함수용주소를 DIRECT주소로 변경" dataDxfId="6">
      <calculatedColumnFormula>"https://lh3.googleusercontent.com/d/" &amp; 신특이미지[[#This Row],[파일ID]]</calculatedColumnFormula>
    </tableColumn>
    <tableColumn id="8" xr3:uid="{D3FCA1A0-760A-4AB9-A7AE-606F3D4A0558}" name="대체텍스트" dataDxfId="5">
      <calculatedColumnFormula>SUBSTITUTE(신특이미지[[#This Row],[파일명]], ".png","")</calculatedColumnFormula>
    </tableColumn>
    <tableColumn id="5" xr3:uid="{E917F59F-D811-4F07-ADBE-AA6B60FD43F2}" name="신규특성" dataDxfId="4">
      <calculatedColumnFormula>_xlfn.IMAGE(신특이미지[[#This Row],[함수용주소를 DIRECT주소로 변경]],신특이미지[[#This Row],[대체텍스트]],3,42,42)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1DA148-8E86-4380-88EC-7D8D7E02F12A}" name="표8" displayName="표8" ref="J2:K10" totalsRowShown="0" headerRowDxfId="3">
  <autoFilter ref="J2:K10" xr:uid="{48C50C03-6E72-459F-86E5-90D951F6FBB7}"/>
  <tableColumns count="2">
    <tableColumn id="1" xr3:uid="{C5041CDC-6116-43FB-A9FE-7700C83D672D}" name="열1"/>
    <tableColumn id="2" xr3:uid="{3F56CD3A-C0AA-4668-B0CE-841C306F7922}" name="열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D0A51D-62ED-4068-922A-919A2AAF664C}" name="강화이미지" displayName="강화이미지" ref="A1:F14" totalsRowShown="0">
  <autoFilter ref="A1:F14" xr:uid="{2B2AAC5B-2380-473C-AC96-4F576EB09F6C}"/>
  <tableColumns count="6">
    <tableColumn id="1" xr3:uid="{6604AF5E-D410-4335-B080-A3EA77D246C7}" name="파일명"/>
    <tableColumn id="2" xr3:uid="{A904422C-880A-4926-A01F-634DA82AC8EA}" name="파일ID"/>
    <tableColumn id="3" xr3:uid="{AF905ABA-457D-4150-8923-3DB93056F227}" name="IMAGE함수용주소"/>
    <tableColumn id="4" xr3:uid="{2A81F9CA-074A-4E5C-8D70-D6E92D31FBF0}" name="함수용주소를 DIRECT주소로 변경" dataDxfId="2">
      <calculatedColumnFormula>"https://lh3.googleusercontent.com/d/" &amp; 강화이미지[[#This Row],[파일ID]]</calculatedColumnFormula>
    </tableColumn>
    <tableColumn id="8" xr3:uid="{A1923AF1-6A4A-43A8-83E1-FCEB91B799BB}" name="대체텍스트" dataDxfId="1">
      <calculatedColumnFormula>SUBSTITUTE(강화이미지[[#This Row],[파일명]], ".png","")</calculatedColumnFormula>
    </tableColumn>
    <tableColumn id="5" xr3:uid="{DEF82E7E-7EF1-4993-B80F-E865E3A667A1}" name="강화단계" dataDxfId="0">
      <calculatedColumnFormula>_xlfn.IMAGE(강화이미지[[#This Row],[함수용주소를 DIRECT주소로 변경]],강화이미지[[#This Row],[대체텍스트]],3,30.6,49.5)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54C47-D2E6-4A15-ACE7-672ABBCAC371}">
  <dimension ref="A1:A115"/>
  <sheetViews>
    <sheetView tabSelected="1" topLeftCell="A94" zoomScale="70" zoomScaleNormal="70" workbookViewId="0">
      <selection activeCell="G116" sqref="G116"/>
    </sheetView>
  </sheetViews>
  <sheetFormatPr defaultRowHeight="28" customHeight="1" x14ac:dyDescent="0.3"/>
  <cols>
    <col min="1" max="1" width="18.125" style="1" bestFit="1" customWidth="1"/>
    <col min="2" max="16384" width="9" style="1"/>
  </cols>
  <sheetData>
    <row r="1" spans="1:1" ht="28" customHeight="1" x14ac:dyDescent="0.3">
      <c r="A1" s="1" t="s">
        <v>1</v>
      </c>
    </row>
    <row r="2" spans="1:1" ht="28" customHeight="1" x14ac:dyDescent="0.3">
      <c r="A2" s="1">
        <v>877000027</v>
      </c>
    </row>
    <row r="3" spans="1:1" ht="28" customHeight="1" x14ac:dyDescent="0.3">
      <c r="A3" s="1">
        <v>877000041</v>
      </c>
    </row>
    <row r="4" spans="1:1" ht="28" customHeight="1" x14ac:dyDescent="0.3">
      <c r="A4" s="1">
        <v>877000240</v>
      </c>
    </row>
    <row r="5" spans="1:1" ht="28" customHeight="1" x14ac:dyDescent="0.3">
      <c r="A5" s="1">
        <v>877000246</v>
      </c>
    </row>
    <row r="6" spans="1:1" ht="28" customHeight="1" x14ac:dyDescent="0.3">
      <c r="A6" s="1">
        <v>877000388</v>
      </c>
    </row>
    <row r="7" spans="1:1" ht="28" customHeight="1" x14ac:dyDescent="0.3">
      <c r="A7" s="1">
        <v>877000488</v>
      </c>
    </row>
    <row r="8" spans="1:1" ht="28" customHeight="1" x14ac:dyDescent="0.3">
      <c r="A8" s="1">
        <v>877001025</v>
      </c>
    </row>
    <row r="9" spans="1:1" ht="28" customHeight="1" x14ac:dyDescent="0.3">
      <c r="A9" s="1">
        <v>877001041</v>
      </c>
    </row>
    <row r="10" spans="1:1" ht="28" customHeight="1" x14ac:dyDescent="0.3">
      <c r="A10" s="1">
        <v>877001109</v>
      </c>
    </row>
    <row r="11" spans="1:1" ht="28" customHeight="1" x14ac:dyDescent="0.3">
      <c r="A11" s="1">
        <v>877001179</v>
      </c>
    </row>
    <row r="12" spans="1:1" ht="28" customHeight="1" x14ac:dyDescent="0.3">
      <c r="A12" s="1">
        <v>877001551</v>
      </c>
    </row>
    <row r="13" spans="1:1" ht="28" customHeight="1" x14ac:dyDescent="0.3">
      <c r="A13" s="1">
        <v>877001605</v>
      </c>
    </row>
    <row r="14" spans="1:1" ht="28" customHeight="1" x14ac:dyDescent="0.3">
      <c r="A14" s="1">
        <v>877001625</v>
      </c>
    </row>
    <row r="15" spans="1:1" ht="28" customHeight="1" x14ac:dyDescent="0.3">
      <c r="A15" s="1">
        <v>877001668</v>
      </c>
    </row>
    <row r="16" spans="1:1" ht="28" customHeight="1" x14ac:dyDescent="0.3">
      <c r="A16" s="1">
        <v>877001845</v>
      </c>
    </row>
    <row r="17" spans="1:1" ht="28" customHeight="1" x14ac:dyDescent="0.3">
      <c r="A17" s="1">
        <v>877003622</v>
      </c>
    </row>
    <row r="18" spans="1:1" ht="28" customHeight="1" x14ac:dyDescent="0.3">
      <c r="A18" s="1">
        <v>877004000</v>
      </c>
    </row>
    <row r="19" spans="1:1" ht="28" customHeight="1" x14ac:dyDescent="0.3">
      <c r="A19" s="1">
        <v>877005003</v>
      </c>
    </row>
    <row r="20" spans="1:1" ht="28" customHeight="1" x14ac:dyDescent="0.3">
      <c r="A20" s="1">
        <v>877005454</v>
      </c>
    </row>
    <row r="21" spans="1:1" ht="28" customHeight="1" x14ac:dyDescent="0.3">
      <c r="A21" s="1">
        <v>877005471</v>
      </c>
    </row>
    <row r="22" spans="1:1" ht="28" customHeight="1" x14ac:dyDescent="0.3">
      <c r="A22" s="1">
        <v>877005680</v>
      </c>
    </row>
    <row r="23" spans="1:1" ht="28" customHeight="1" x14ac:dyDescent="0.3">
      <c r="A23" s="1">
        <v>877006975</v>
      </c>
    </row>
    <row r="24" spans="1:1" ht="28" customHeight="1" x14ac:dyDescent="0.3">
      <c r="A24" s="1">
        <v>877007763</v>
      </c>
    </row>
    <row r="25" spans="1:1" ht="28" customHeight="1" x14ac:dyDescent="0.3">
      <c r="A25" s="1">
        <v>877007826</v>
      </c>
    </row>
    <row r="26" spans="1:1" ht="28" customHeight="1" x14ac:dyDescent="0.3">
      <c r="A26" s="1">
        <v>877009676</v>
      </c>
    </row>
    <row r="27" spans="1:1" ht="28" customHeight="1" x14ac:dyDescent="0.3">
      <c r="A27" s="1">
        <v>877010535</v>
      </c>
    </row>
    <row r="28" spans="1:1" ht="28" customHeight="1" x14ac:dyDescent="0.3">
      <c r="A28" s="1">
        <v>877010704</v>
      </c>
    </row>
    <row r="29" spans="1:1" ht="28" customHeight="1" x14ac:dyDescent="0.3">
      <c r="A29" s="1">
        <v>877011141</v>
      </c>
    </row>
    <row r="30" spans="1:1" ht="28" customHeight="1" x14ac:dyDescent="0.3">
      <c r="A30" s="1">
        <v>877013038</v>
      </c>
    </row>
    <row r="31" spans="1:1" ht="28" customHeight="1" x14ac:dyDescent="0.3">
      <c r="A31" s="1">
        <v>877013128</v>
      </c>
    </row>
    <row r="32" spans="1:1" ht="28" customHeight="1" x14ac:dyDescent="0.3">
      <c r="A32" s="1">
        <v>877016619</v>
      </c>
    </row>
    <row r="33" spans="1:1" ht="28" customHeight="1" x14ac:dyDescent="0.3">
      <c r="A33" s="1">
        <v>877020801</v>
      </c>
    </row>
    <row r="34" spans="1:1" ht="28" customHeight="1" x14ac:dyDescent="0.3">
      <c r="A34" s="1">
        <v>877021146</v>
      </c>
    </row>
    <row r="35" spans="1:1" ht="28" customHeight="1" x14ac:dyDescent="0.3">
      <c r="A35" s="1">
        <v>877025420</v>
      </c>
    </row>
    <row r="36" spans="1:1" ht="28" customHeight="1" x14ac:dyDescent="0.3">
      <c r="A36" s="1">
        <v>877026709</v>
      </c>
    </row>
    <row r="37" spans="1:1" ht="28" customHeight="1" x14ac:dyDescent="0.3">
      <c r="A37" s="1">
        <v>877028130</v>
      </c>
    </row>
    <row r="38" spans="1:1" ht="28" customHeight="1" x14ac:dyDescent="0.3">
      <c r="A38" s="1">
        <v>877028765</v>
      </c>
    </row>
    <row r="39" spans="1:1" ht="28" customHeight="1" x14ac:dyDescent="0.3">
      <c r="A39" s="1">
        <v>877031432</v>
      </c>
    </row>
    <row r="40" spans="1:1" ht="28" customHeight="1" x14ac:dyDescent="0.3">
      <c r="A40" s="1">
        <v>877034079</v>
      </c>
    </row>
    <row r="41" spans="1:1" ht="28" customHeight="1" x14ac:dyDescent="0.3">
      <c r="A41" s="1">
        <v>877041236</v>
      </c>
    </row>
    <row r="42" spans="1:1" ht="28" customHeight="1" x14ac:dyDescent="0.3">
      <c r="A42" s="1">
        <v>877045197</v>
      </c>
    </row>
    <row r="43" spans="1:1" ht="28" customHeight="1" x14ac:dyDescent="0.3">
      <c r="A43" s="1">
        <v>877047390</v>
      </c>
    </row>
    <row r="44" spans="1:1" ht="28" customHeight="1" x14ac:dyDescent="0.3">
      <c r="A44" s="1">
        <v>877048940</v>
      </c>
    </row>
    <row r="45" spans="1:1" ht="28" customHeight="1" x14ac:dyDescent="0.3">
      <c r="A45" s="1">
        <v>877054050</v>
      </c>
    </row>
    <row r="46" spans="1:1" ht="28" customHeight="1" x14ac:dyDescent="0.3">
      <c r="A46" s="1">
        <v>877107715</v>
      </c>
    </row>
    <row r="47" spans="1:1" ht="28" customHeight="1" x14ac:dyDescent="0.3">
      <c r="A47" s="1">
        <v>877121939</v>
      </c>
    </row>
    <row r="48" spans="1:1" ht="28" customHeight="1" x14ac:dyDescent="0.3">
      <c r="A48" s="1">
        <v>877121944</v>
      </c>
    </row>
    <row r="49" spans="1:1" ht="28" customHeight="1" x14ac:dyDescent="0.3">
      <c r="A49" s="1">
        <v>877135455</v>
      </c>
    </row>
    <row r="50" spans="1:1" ht="28" customHeight="1" x14ac:dyDescent="0.3">
      <c r="A50" s="1">
        <v>877137186</v>
      </c>
    </row>
    <row r="51" spans="1:1" ht="28" customHeight="1" x14ac:dyDescent="0.3">
      <c r="A51" s="1">
        <v>877138123</v>
      </c>
    </row>
    <row r="52" spans="1:1" ht="28" customHeight="1" x14ac:dyDescent="0.3">
      <c r="A52" s="1">
        <v>877138449</v>
      </c>
    </row>
    <row r="53" spans="1:1" ht="28" customHeight="1" x14ac:dyDescent="0.3">
      <c r="A53" s="1">
        <v>877138956</v>
      </c>
    </row>
    <row r="54" spans="1:1" ht="28" customHeight="1" x14ac:dyDescent="0.3">
      <c r="A54" s="1">
        <v>877140601</v>
      </c>
    </row>
    <row r="55" spans="1:1" ht="28" customHeight="1" x14ac:dyDescent="0.3">
      <c r="A55" s="1">
        <v>877142754</v>
      </c>
    </row>
    <row r="56" spans="1:1" ht="28" customHeight="1" x14ac:dyDescent="0.3">
      <c r="A56" s="1">
        <v>877143001</v>
      </c>
    </row>
    <row r="57" spans="1:1" ht="28" customHeight="1" x14ac:dyDescent="0.3">
      <c r="A57" s="1">
        <v>877153079</v>
      </c>
    </row>
    <row r="58" spans="1:1" ht="28" customHeight="1" x14ac:dyDescent="0.3">
      <c r="A58" s="1">
        <v>877156616</v>
      </c>
    </row>
    <row r="59" spans="1:1" ht="28" customHeight="1" x14ac:dyDescent="0.3">
      <c r="A59" s="1">
        <v>877158023</v>
      </c>
    </row>
    <row r="60" spans="1:1" ht="28" customHeight="1" x14ac:dyDescent="0.3">
      <c r="A60" s="1">
        <v>877162895</v>
      </c>
    </row>
    <row r="61" spans="1:1" ht="28" customHeight="1" x14ac:dyDescent="0.3">
      <c r="A61" s="1">
        <v>877165153</v>
      </c>
    </row>
    <row r="62" spans="1:1" ht="28" customHeight="1" x14ac:dyDescent="0.3">
      <c r="A62" s="1">
        <v>877167198</v>
      </c>
    </row>
    <row r="63" spans="1:1" ht="28" customHeight="1" x14ac:dyDescent="0.3">
      <c r="A63" s="1">
        <v>877167905</v>
      </c>
    </row>
    <row r="64" spans="1:1" ht="28" customHeight="1" x14ac:dyDescent="0.3">
      <c r="A64" s="1">
        <v>877173210</v>
      </c>
    </row>
    <row r="65" spans="1:1" ht="28" customHeight="1" x14ac:dyDescent="0.3">
      <c r="A65" s="1">
        <v>877176580</v>
      </c>
    </row>
    <row r="66" spans="1:1" ht="28" customHeight="1" x14ac:dyDescent="0.3">
      <c r="A66" s="1">
        <v>877177003</v>
      </c>
    </row>
    <row r="67" spans="1:1" ht="28" customHeight="1" x14ac:dyDescent="0.3">
      <c r="A67" s="1">
        <v>877181783</v>
      </c>
    </row>
    <row r="68" spans="1:1" ht="28" customHeight="1" x14ac:dyDescent="0.3">
      <c r="A68" s="1">
        <v>877182521</v>
      </c>
    </row>
    <row r="69" spans="1:1" ht="28" customHeight="1" x14ac:dyDescent="0.3">
      <c r="A69" s="1">
        <v>877183711</v>
      </c>
    </row>
    <row r="70" spans="1:1" ht="28" customHeight="1" x14ac:dyDescent="0.3">
      <c r="A70" s="1">
        <v>877188545</v>
      </c>
    </row>
    <row r="71" spans="1:1" ht="28" customHeight="1" x14ac:dyDescent="0.3">
      <c r="A71" s="1">
        <v>877189596</v>
      </c>
    </row>
    <row r="72" spans="1:1" ht="28" customHeight="1" x14ac:dyDescent="0.3">
      <c r="A72" s="1">
        <v>877190053</v>
      </c>
    </row>
    <row r="73" spans="1:1" ht="28" customHeight="1" x14ac:dyDescent="0.3">
      <c r="A73" s="1">
        <v>877192505</v>
      </c>
    </row>
    <row r="74" spans="1:1" ht="28" customHeight="1" x14ac:dyDescent="0.3">
      <c r="A74" s="1">
        <v>877192883</v>
      </c>
    </row>
    <row r="75" spans="1:1" ht="28" customHeight="1" x14ac:dyDescent="0.3">
      <c r="A75" s="1">
        <v>877192985</v>
      </c>
    </row>
    <row r="76" spans="1:1" ht="28" customHeight="1" x14ac:dyDescent="0.3">
      <c r="A76" s="1">
        <v>877193080</v>
      </c>
    </row>
    <row r="77" spans="1:1" ht="28" customHeight="1" x14ac:dyDescent="0.3">
      <c r="A77" s="1">
        <v>877199503</v>
      </c>
    </row>
    <row r="78" spans="1:1" ht="28" customHeight="1" x14ac:dyDescent="0.3">
      <c r="A78" s="1">
        <v>877199564</v>
      </c>
    </row>
    <row r="79" spans="1:1" ht="28" customHeight="1" x14ac:dyDescent="0.3">
      <c r="A79" s="1">
        <v>877200145</v>
      </c>
    </row>
    <row r="80" spans="1:1" ht="28" customHeight="1" x14ac:dyDescent="0.3">
      <c r="A80" s="1">
        <v>877200724</v>
      </c>
    </row>
    <row r="81" spans="1:1" ht="28" customHeight="1" x14ac:dyDescent="0.3">
      <c r="A81" s="1">
        <v>877203376</v>
      </c>
    </row>
    <row r="82" spans="1:1" ht="28" customHeight="1" x14ac:dyDescent="0.3">
      <c r="A82" s="1">
        <v>877203574</v>
      </c>
    </row>
    <row r="83" spans="1:1" ht="28" customHeight="1" x14ac:dyDescent="0.3">
      <c r="A83" s="1">
        <v>877208128</v>
      </c>
    </row>
    <row r="84" spans="1:1" ht="28" customHeight="1" x14ac:dyDescent="0.3">
      <c r="A84" s="1">
        <v>877208722</v>
      </c>
    </row>
    <row r="85" spans="1:1" ht="28" customHeight="1" x14ac:dyDescent="0.3">
      <c r="A85" s="1">
        <v>877210406</v>
      </c>
    </row>
    <row r="86" spans="1:1" ht="28" customHeight="1" x14ac:dyDescent="0.3">
      <c r="A86" s="1">
        <v>877211110</v>
      </c>
    </row>
    <row r="87" spans="1:1" ht="28" customHeight="1" x14ac:dyDescent="0.3">
      <c r="A87" s="1">
        <v>877212831</v>
      </c>
    </row>
    <row r="88" spans="1:1" ht="28" customHeight="1" x14ac:dyDescent="0.3">
      <c r="A88" s="1">
        <v>877213345</v>
      </c>
    </row>
    <row r="89" spans="1:1" ht="28" customHeight="1" x14ac:dyDescent="0.3">
      <c r="A89" s="1">
        <v>877216267</v>
      </c>
    </row>
    <row r="90" spans="1:1" ht="28" customHeight="1" x14ac:dyDescent="0.3">
      <c r="A90" s="1">
        <v>877216435</v>
      </c>
    </row>
    <row r="91" spans="1:1" ht="28" customHeight="1" x14ac:dyDescent="0.3">
      <c r="A91" s="1">
        <v>877217870</v>
      </c>
    </row>
    <row r="92" spans="1:1" ht="28" customHeight="1" x14ac:dyDescent="0.3">
      <c r="A92" s="1">
        <v>877221992</v>
      </c>
    </row>
    <row r="93" spans="1:1" ht="28" customHeight="1" x14ac:dyDescent="0.3">
      <c r="A93" s="1">
        <v>877224232</v>
      </c>
    </row>
    <row r="94" spans="1:1" ht="28" customHeight="1" x14ac:dyDescent="0.3">
      <c r="A94" s="1">
        <v>877225100</v>
      </c>
    </row>
    <row r="95" spans="1:1" ht="28" customHeight="1" x14ac:dyDescent="0.3">
      <c r="A95" s="1">
        <v>877226268</v>
      </c>
    </row>
    <row r="96" spans="1:1" ht="28" customHeight="1" x14ac:dyDescent="0.3">
      <c r="A96" s="1">
        <v>877226851</v>
      </c>
    </row>
    <row r="97" spans="1:1" ht="28" customHeight="1" x14ac:dyDescent="0.3">
      <c r="A97" s="1">
        <v>877227236</v>
      </c>
    </row>
    <row r="98" spans="1:1" ht="28" customHeight="1" x14ac:dyDescent="0.3">
      <c r="A98" s="1">
        <v>877227535</v>
      </c>
    </row>
    <row r="99" spans="1:1" ht="28" customHeight="1" x14ac:dyDescent="0.3">
      <c r="A99" s="1">
        <v>877228093</v>
      </c>
    </row>
    <row r="100" spans="1:1" ht="28" customHeight="1" x14ac:dyDescent="0.3">
      <c r="A100" s="1">
        <v>877230666</v>
      </c>
    </row>
    <row r="101" spans="1:1" ht="28" customHeight="1" x14ac:dyDescent="0.3">
      <c r="A101" s="1">
        <v>877231866</v>
      </c>
    </row>
    <row r="102" spans="1:1" ht="28" customHeight="1" x14ac:dyDescent="0.3">
      <c r="A102" s="1">
        <v>877236772</v>
      </c>
    </row>
    <row r="103" spans="1:1" ht="28" customHeight="1" x14ac:dyDescent="0.3">
      <c r="A103" s="1">
        <v>877237692</v>
      </c>
    </row>
    <row r="104" spans="1:1" ht="28" customHeight="1" x14ac:dyDescent="0.3">
      <c r="A104" s="1">
        <v>877239818</v>
      </c>
    </row>
    <row r="105" spans="1:1" ht="28" customHeight="1" x14ac:dyDescent="0.3">
      <c r="A105" s="1">
        <v>877239837</v>
      </c>
    </row>
    <row r="106" spans="1:1" ht="28" customHeight="1" x14ac:dyDescent="0.3">
      <c r="A106" s="1">
        <v>877240716</v>
      </c>
    </row>
    <row r="107" spans="1:1" ht="28" customHeight="1" x14ac:dyDescent="0.3">
      <c r="A107" s="1">
        <v>877242434</v>
      </c>
    </row>
    <row r="108" spans="1:1" ht="28" customHeight="1" x14ac:dyDescent="0.3">
      <c r="A108" s="1">
        <v>877242516</v>
      </c>
    </row>
    <row r="109" spans="1:1" ht="28" customHeight="1" x14ac:dyDescent="0.3">
      <c r="A109" s="1">
        <v>877244263</v>
      </c>
    </row>
    <row r="110" spans="1:1" ht="28" customHeight="1" x14ac:dyDescent="0.3">
      <c r="A110" s="1">
        <v>877246104</v>
      </c>
    </row>
    <row r="111" spans="1:1" ht="28" customHeight="1" x14ac:dyDescent="0.3">
      <c r="A111" s="1">
        <v>877246875</v>
      </c>
    </row>
    <row r="112" spans="1:1" ht="28" customHeight="1" x14ac:dyDescent="0.3">
      <c r="A112" s="1">
        <v>877253149</v>
      </c>
    </row>
    <row r="113" spans="1:1" ht="28" customHeight="1" x14ac:dyDescent="0.3">
      <c r="A113" s="1">
        <v>877256630</v>
      </c>
    </row>
    <row r="114" spans="1:1" ht="28" customHeight="1" x14ac:dyDescent="0.3">
      <c r="A114" s="1">
        <v>877258648</v>
      </c>
    </row>
    <row r="115" spans="1:1" ht="28" customHeight="1" x14ac:dyDescent="0.3">
      <c r="A115" s="1">
        <v>879243780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50FB3-452E-4C82-A44A-A85077564A08}">
  <dimension ref="A1:Q153"/>
  <sheetViews>
    <sheetView zoomScaleNormal="100" workbookViewId="0">
      <selection activeCell="A124" sqref="A124"/>
    </sheetView>
  </sheetViews>
  <sheetFormatPr defaultRowHeight="32.799999999999997" customHeight="1" x14ac:dyDescent="0.3"/>
  <cols>
    <col min="1" max="1" width="17.875" style="2" bestFit="1" customWidth="1"/>
    <col min="2" max="2" width="31.625" style="2" bestFit="1" customWidth="1"/>
    <col min="3" max="3" width="8.375" style="2" customWidth="1"/>
    <col min="4" max="4" width="57.75" style="2" bestFit="1" customWidth="1"/>
    <col min="5" max="5" width="15.5" style="2" bestFit="1" customWidth="1"/>
    <col min="6" max="6" width="25.75" style="2" bestFit="1" customWidth="1"/>
    <col min="7" max="12" width="9.125" style="2" customWidth="1"/>
    <col min="13" max="16384" width="9" style="2"/>
  </cols>
  <sheetData>
    <row r="1" spans="1:17" ht="32.799999999999997" customHeight="1" x14ac:dyDescent="0.3">
      <c r="A1" s="10" t="s">
        <v>2</v>
      </c>
      <c r="B1" s="11" t="s">
        <v>3</v>
      </c>
      <c r="C1" s="12" t="s">
        <v>4</v>
      </c>
      <c r="D1" s="11" t="s">
        <v>5</v>
      </c>
      <c r="E1" s="13" t="s">
        <v>6</v>
      </c>
      <c r="F1" s="14" t="s">
        <v>50</v>
      </c>
    </row>
    <row r="2" spans="1:17" ht="32.799999999999997" customHeight="1" x14ac:dyDescent="0.3">
      <c r="A2" s="6" t="s">
        <v>124</v>
      </c>
      <c r="B2" s="9" t="s">
        <v>125</v>
      </c>
      <c r="C2" s="8" t="s">
        <v>452</v>
      </c>
      <c r="D2" s="9" t="str">
        <f>"https://lh3.googleusercontent.com/d/" &amp; 시즌이미지[[#This Row],[파일ID]]</f>
        <v>https://lh3.googleusercontent.com/d/1W6Ky5ZGm7l7ZmmoawU7UcPLtadd-8XJp</v>
      </c>
      <c r="E2" s="7" t="str">
        <f>SUBSTITUTE(시즌이미지[[#This Row],[파일명]], ".png","")</f>
        <v>18PLS</v>
      </c>
      <c r="F2" s="8" t="e" vm="1">
        <f>_xlfn.IMAGE(시즌이미지[[#This Row],[함수용주소를 DIRECT주소로 변경]],시즌이미지[[#This Row],[대체텍스트]],3,33.642,41.958)</f>
        <v>#VALUE!</v>
      </c>
      <c r="P2" s="3">
        <v>1</v>
      </c>
      <c r="Q2" s="4">
        <f>P2*37.8</f>
        <v>37.799999999999997</v>
      </c>
    </row>
    <row r="3" spans="1:17" ht="32.799999999999997" customHeight="1" x14ac:dyDescent="0.3">
      <c r="A3" s="6" t="s">
        <v>321</v>
      </c>
      <c r="B3" s="9" t="s">
        <v>127</v>
      </c>
      <c r="C3" s="8" t="s">
        <v>452</v>
      </c>
      <c r="D3" s="9" t="str">
        <f>"https://lh3.googleusercontent.com/d/" &amp; 시즌이미지[[#This Row],[파일ID]]</f>
        <v>https://lh3.googleusercontent.com/d/1YC8vkxRyY-KUzQIA2ARn03m9ylpwSunS</v>
      </c>
      <c r="E3" s="7" t="str">
        <f>SUBSTITUTE(시즌이미지[[#This Row],[파일명]], ".png","")</f>
        <v>19PL</v>
      </c>
      <c r="F3" s="8" t="e" vm="2">
        <f>_xlfn.IMAGE(시즌이미지[[#This Row],[함수용주소를 DIRECT주소로 변경]],시즌이미지[[#This Row],[대체텍스트]],3,33.642,41.958)</f>
        <v>#VALUE!</v>
      </c>
      <c r="O3" s="2" t="s">
        <v>7</v>
      </c>
      <c r="P3" s="3">
        <v>0.89</v>
      </c>
      <c r="Q3" s="4">
        <f>P3*37.8</f>
        <v>33.641999999999996</v>
      </c>
    </row>
    <row r="4" spans="1:17" ht="32.799999999999997" customHeight="1" x14ac:dyDescent="0.3">
      <c r="A4" s="6" t="s">
        <v>134</v>
      </c>
      <c r="B4" s="9" t="s">
        <v>135</v>
      </c>
      <c r="C4" s="8" t="s">
        <v>452</v>
      </c>
      <c r="D4" s="9" t="str">
        <f>"https://lh3.googleusercontent.com/d/" &amp; 시즌이미지[[#This Row],[파일ID]]</f>
        <v>https://lh3.googleusercontent.com/d/1vJcJb7qk9Cv_9zyH8abblJyS3ixI3uQa</v>
      </c>
      <c r="E4" s="7" t="str">
        <f>SUBSTITUTE(시즌이미지[[#This Row],[파일명]], ".png","")</f>
        <v>19PLS</v>
      </c>
      <c r="F4" s="8" t="e" vm="3">
        <f>_xlfn.IMAGE(시즌이미지[[#This Row],[함수용주소를 DIRECT주소로 변경]],시즌이미지[[#This Row],[대체텍스트]],3,33.642,41.958)</f>
        <v>#VALUE!</v>
      </c>
      <c r="O4" s="2" t="s">
        <v>8</v>
      </c>
      <c r="P4" s="3">
        <v>1.1100000000000001</v>
      </c>
      <c r="Q4" s="4">
        <f>P4*37.8</f>
        <v>41.957999999999998</v>
      </c>
    </row>
    <row r="5" spans="1:17" ht="32.799999999999997" customHeight="1" x14ac:dyDescent="0.3">
      <c r="A5" s="6" t="s">
        <v>322</v>
      </c>
      <c r="B5" s="9" t="s">
        <v>112</v>
      </c>
      <c r="C5" s="8" t="s">
        <v>452</v>
      </c>
      <c r="D5" s="9" t="str">
        <f>"https://lh3.googleusercontent.com/d/" &amp; 시즌이미지[[#This Row],[파일ID]]</f>
        <v>https://lh3.googleusercontent.com/d/1HPcQqhJ_GfZsudCwdrbHreWCqS0C5QvR</v>
      </c>
      <c r="E5" s="7" t="str">
        <f>SUBSTITUTE(시즌이미지[[#This Row],[파일명]], ".png","")</f>
        <v>19TS</v>
      </c>
      <c r="F5" s="8" t="e" vm="4">
        <f>_xlfn.IMAGE(시즌이미지[[#This Row],[함수용주소를 DIRECT주소로 변경]],시즌이미지[[#This Row],[대체텍스트]],3,33.642,41.958)</f>
        <v>#VALUE!</v>
      </c>
      <c r="P5" s="3"/>
      <c r="Q5" s="4"/>
    </row>
    <row r="6" spans="1:17" ht="32.799999999999997" customHeight="1" x14ac:dyDescent="0.3">
      <c r="A6" s="6" t="s">
        <v>114</v>
      </c>
      <c r="B6" s="9" t="s">
        <v>115</v>
      </c>
      <c r="C6" s="8" t="s">
        <v>452</v>
      </c>
      <c r="D6" s="9" t="str">
        <f>"https://lh3.googleusercontent.com/d/" &amp; 시즌이미지[[#This Row],[파일ID]]</f>
        <v>https://lh3.googleusercontent.com/d/1tpASOVFFH19yg0BAjumZfpG5ATsplll2</v>
      </c>
      <c r="E6" s="7" t="str">
        <f>SUBSTITUTE(시즌이미지[[#This Row],[파일명]], ".png","")</f>
        <v>19UCL</v>
      </c>
      <c r="F6" s="8" t="e" vm="5">
        <f>_xlfn.IMAGE(시즌이미지[[#This Row],[함수용주소를 DIRECT주소로 변경]],시즌이미지[[#This Row],[대체텍스트]],3,33.642,41.958)</f>
        <v>#VALUE!</v>
      </c>
      <c r="O6" s="2" t="s">
        <v>7</v>
      </c>
      <c r="P6" s="3">
        <v>0.81</v>
      </c>
      <c r="Q6" s="4">
        <f>P6*37.8</f>
        <v>30.617999999999999</v>
      </c>
    </row>
    <row r="7" spans="1:17" ht="32.799999999999997" customHeight="1" x14ac:dyDescent="0.3">
      <c r="A7" s="6" t="s">
        <v>323</v>
      </c>
      <c r="B7" s="9" t="s">
        <v>129</v>
      </c>
      <c r="C7" s="8" t="s">
        <v>452</v>
      </c>
      <c r="D7" s="9" t="str">
        <f>"https://lh3.googleusercontent.com/d/" &amp; 시즌이미지[[#This Row],[파일ID]]</f>
        <v>https://lh3.googleusercontent.com/d/1iQB8PAOaokPHT-uZ7L8vOT94Znh0z9Cy</v>
      </c>
      <c r="E7" s="7" t="str">
        <f>SUBSTITUTE(시즌이미지[[#This Row],[파일명]], ".png","")</f>
        <v>20PL</v>
      </c>
      <c r="F7" s="8" t="e" vm="6">
        <f>_xlfn.IMAGE(시즌이미지[[#This Row],[함수용주소를 DIRECT주소로 변경]],시즌이미지[[#This Row],[대체텍스트]],3,33.642,41.958)</f>
        <v>#VALUE!</v>
      </c>
      <c r="O7" s="2" t="s">
        <v>8</v>
      </c>
      <c r="P7" s="3">
        <v>1.31</v>
      </c>
      <c r="Q7" s="4">
        <f>P7*37.8</f>
        <v>49.518000000000001</v>
      </c>
    </row>
    <row r="8" spans="1:17" ht="32.799999999999997" customHeight="1" x14ac:dyDescent="0.3">
      <c r="A8" s="6" t="s">
        <v>324</v>
      </c>
      <c r="B8" s="9" t="s">
        <v>80</v>
      </c>
      <c r="C8" s="8" t="s">
        <v>452</v>
      </c>
      <c r="D8" s="9" t="str">
        <f>"https://lh3.googleusercontent.com/d/" &amp; 시즌이미지[[#This Row],[파일ID]]</f>
        <v>https://lh3.googleusercontent.com/d/1-IOX6GX1Y0sDso8wLlBqFs_hVadVK48s</v>
      </c>
      <c r="E8" s="7" t="str">
        <f>SUBSTITUTE(시즌이미지[[#This Row],[파일명]], ".png","")</f>
        <v>20TS</v>
      </c>
      <c r="F8" s="8" t="e" vm="7">
        <f>_xlfn.IMAGE(시즌이미지[[#This Row],[함수용주소를 DIRECT주소로 변경]],시즌이미지[[#This Row],[대체텍스트]],3,33.642,41.958)</f>
        <v>#VALUE!</v>
      </c>
      <c r="P8" s="3"/>
      <c r="Q8" s="4"/>
    </row>
    <row r="9" spans="1:17" ht="32.799999999999997" customHeight="1" x14ac:dyDescent="0.3">
      <c r="A9" s="6" t="s">
        <v>169</v>
      </c>
      <c r="B9" s="9" t="s">
        <v>170</v>
      </c>
      <c r="C9" s="8" t="s">
        <v>452</v>
      </c>
      <c r="D9" s="9" t="str">
        <f>"https://lh3.googleusercontent.com/d/" &amp; 시즌이미지[[#This Row],[파일ID]]</f>
        <v>https://lh3.googleusercontent.com/d/1j3ksI9pLAPZSpAwDTp--ohQ4qR006hxD</v>
      </c>
      <c r="E9" s="7" t="str">
        <f>SUBSTITUTE(시즌이미지[[#This Row],[파일명]], ".png","")</f>
        <v>20UCL</v>
      </c>
      <c r="F9" s="8" t="e" vm="8">
        <f>_xlfn.IMAGE(시즌이미지[[#This Row],[함수용주소를 DIRECT주소로 변경]],시즌이미지[[#This Row],[대체텍스트]],3,33.642,41.958)</f>
        <v>#VALUE!</v>
      </c>
      <c r="P9" s="3"/>
      <c r="Q9" s="4"/>
    </row>
    <row r="10" spans="1:17" ht="32.799999999999997" customHeight="1" x14ac:dyDescent="0.3">
      <c r="A10" s="6" t="s">
        <v>325</v>
      </c>
      <c r="B10" s="9" t="s">
        <v>105</v>
      </c>
      <c r="C10" s="8" t="s">
        <v>452</v>
      </c>
      <c r="D10" s="9" t="str">
        <f>"https://lh3.googleusercontent.com/d/" &amp; 시즌이미지[[#This Row],[파일ID]]</f>
        <v>https://lh3.googleusercontent.com/d/1GL5wYMGDDdTA5JlzmCpLl6YrZF9hDtIR</v>
      </c>
      <c r="E10" s="7" t="str">
        <f>SUBSTITUTE(시즌이미지[[#This Row],[파일명]], ".png","")</f>
        <v>21PL</v>
      </c>
      <c r="F10" s="8" t="e" vm="9">
        <f>_xlfn.IMAGE(시즌이미지[[#This Row],[함수용주소를 DIRECT주소로 변경]],시즌이미지[[#This Row],[대체텍스트]],3,33.642,41.958)</f>
        <v>#VALUE!</v>
      </c>
      <c r="P10" s="3"/>
      <c r="Q10" s="4"/>
    </row>
    <row r="11" spans="1:17" ht="32.799999999999997" customHeight="1" x14ac:dyDescent="0.3">
      <c r="A11" s="6" t="s">
        <v>326</v>
      </c>
      <c r="B11" s="9" t="s">
        <v>119</v>
      </c>
      <c r="C11" s="8" t="s">
        <v>452</v>
      </c>
      <c r="D11" s="9" t="str">
        <f>"https://lh3.googleusercontent.com/d/" &amp; 시즌이미지[[#This Row],[파일ID]]</f>
        <v>https://lh3.googleusercontent.com/d/1V-WJIlMxJB6n5SuDE8Af3xz0rFOMJX2I</v>
      </c>
      <c r="E11" s="7" t="str">
        <f>SUBSTITUTE(시즌이미지[[#This Row],[파일명]], ".png","")</f>
        <v>21TY-N</v>
      </c>
      <c r="F11" s="8" t="e" vm="10">
        <f>_xlfn.IMAGE(시즌이미지[[#This Row],[함수용주소를 DIRECT주소로 변경]],시즌이미지[[#This Row],[대체텍스트]],3,33.642,41.958)</f>
        <v>#VALUE!</v>
      </c>
      <c r="P11" s="3"/>
      <c r="Q11" s="4"/>
    </row>
    <row r="12" spans="1:17" ht="32.799999999999997" customHeight="1" x14ac:dyDescent="0.3">
      <c r="A12" s="6" t="s">
        <v>207</v>
      </c>
      <c r="B12" s="9" t="s">
        <v>208</v>
      </c>
      <c r="C12" s="8" t="s">
        <v>452</v>
      </c>
      <c r="D12" s="9" t="str">
        <f>"https://lh3.googleusercontent.com/d/" &amp; 시즌이미지[[#This Row],[파일ID]]</f>
        <v>https://lh3.googleusercontent.com/d/1yggyy7d5BeBsPedzgFX2vUmlZLZqnSCC</v>
      </c>
      <c r="E12" s="7" t="str">
        <f>SUBSTITUTE(시즌이미지[[#This Row],[파일명]], ".png","")</f>
        <v>21UCL</v>
      </c>
      <c r="F12" s="8" t="e" vm="11">
        <f>_xlfn.IMAGE(시즌이미지[[#This Row],[함수용주소를 DIRECT주소로 변경]],시즌이미지[[#This Row],[대체텍스트]],3,33.642,41.958)</f>
        <v>#VALUE!</v>
      </c>
      <c r="P12" s="3"/>
      <c r="Q12" s="4"/>
    </row>
    <row r="13" spans="1:17" ht="32.799999999999997" customHeight="1" x14ac:dyDescent="0.3">
      <c r="A13" s="6" t="s">
        <v>327</v>
      </c>
      <c r="B13" s="9" t="s">
        <v>117</v>
      </c>
      <c r="C13" s="8" t="s">
        <v>452</v>
      </c>
      <c r="D13" s="9" t="str">
        <f>"https://lh3.googleusercontent.com/d/" &amp; 시즌이미지[[#This Row],[파일ID]]</f>
        <v>https://lh3.googleusercontent.com/d/1HguCT0IcWKw7bZ1M-kfiRaH0MXgp36WF</v>
      </c>
      <c r="E13" s="7" t="str">
        <f>SUBSTITUTE(시즌이미지[[#This Row],[파일명]], ".png","")</f>
        <v>22PL</v>
      </c>
      <c r="F13" s="8" t="e" vm="12">
        <f>_xlfn.IMAGE(시즌이미지[[#This Row],[함수용주소를 DIRECT주소로 변경]],시즌이미지[[#This Row],[대체텍스트]],3,33.642,41.958)</f>
        <v>#VALUE!</v>
      </c>
      <c r="P13" s="3"/>
      <c r="Q13" s="4"/>
    </row>
    <row r="14" spans="1:17" ht="32.799999999999997" customHeight="1" x14ac:dyDescent="0.3">
      <c r="A14" s="6" t="s">
        <v>172</v>
      </c>
      <c r="B14" s="9" t="s">
        <v>173</v>
      </c>
      <c r="C14" s="8" t="s">
        <v>452</v>
      </c>
      <c r="D14" s="9" t="str">
        <f>"https://lh3.googleusercontent.com/d/" &amp; 시즌이미지[[#This Row],[파일ID]]</f>
        <v>https://lh3.googleusercontent.com/d/19A1b6DZpIjHxoQhHga24RBIpmpAoBkyL</v>
      </c>
      <c r="E14" s="7" t="str">
        <f>SUBSTITUTE(시즌이미지[[#This Row],[파일명]], ".png","")</f>
        <v>22UCL</v>
      </c>
      <c r="F14" s="8" t="e" vm="13">
        <f>_xlfn.IMAGE(시즌이미지[[#This Row],[함수용주소를 DIRECT주소로 변경]],시즌이미지[[#This Row],[대체텍스트]],3,33.642,41.958)</f>
        <v>#VALUE!</v>
      </c>
      <c r="P14" s="3"/>
      <c r="Q14" s="4"/>
    </row>
    <row r="15" spans="1:17" ht="32.799999999999997" customHeight="1" x14ac:dyDescent="0.3">
      <c r="A15" s="6" t="s">
        <v>109</v>
      </c>
      <c r="B15" s="9" t="s">
        <v>110</v>
      </c>
      <c r="C15" s="8" t="s">
        <v>452</v>
      </c>
      <c r="D15" s="9" t="str">
        <f>"https://lh3.googleusercontent.com/d/" &amp; 시즌이미지[[#This Row],[파일ID]]</f>
        <v>https://lh3.googleusercontent.com/d/13UBKA2y83XgUcbVi6MsON6m0KS80UIG7</v>
      </c>
      <c r="E15" s="7" t="str">
        <f>SUBSTITUTE(시즌이미지[[#This Row],[파일명]], ".png","")</f>
        <v>23HW</v>
      </c>
      <c r="F15" s="8" t="e" vm="14">
        <f>_xlfn.IMAGE(시즌이미지[[#This Row],[함수용주소를 DIRECT주소로 변경]],시즌이미지[[#This Row],[대체텍스트]],3,33.642,41.958)</f>
        <v>#VALUE!</v>
      </c>
    </row>
    <row r="16" spans="1:17" ht="32.799999999999997" customHeight="1" x14ac:dyDescent="0.3">
      <c r="A16" s="6" t="s">
        <v>328</v>
      </c>
      <c r="B16" s="9" t="s">
        <v>329</v>
      </c>
      <c r="C16" s="8" t="s">
        <v>452</v>
      </c>
      <c r="D16" s="9" t="str">
        <f>"https://lh3.googleusercontent.com/d/" &amp; 시즌이미지[[#This Row],[파일ID]]</f>
        <v>https://lh3.googleusercontent.com/d/1aRtkGRvTZ9RUaaMUpmBXsV6RCrOXtAx9</v>
      </c>
      <c r="E16" s="7" t="str">
        <f>SUBSTITUTE(시즌이미지[[#This Row],[파일명]], ".png","")</f>
        <v>17LIVE</v>
      </c>
      <c r="F16" s="8" t="e" vm="15">
        <f>_xlfn.IMAGE(시즌이미지[[#This Row],[함수용주소를 DIRECT주소로 변경]],시즌이미지[[#This Row],[대체텍스트]],3,33.642,41.958)</f>
        <v>#VALUE!</v>
      </c>
    </row>
    <row r="17" spans="1:6" ht="32.799999999999997" customHeight="1" x14ac:dyDescent="0.3">
      <c r="A17" s="6" t="s">
        <v>77</v>
      </c>
      <c r="B17" s="9" t="s">
        <v>78</v>
      </c>
      <c r="C17" s="8" t="s">
        <v>452</v>
      </c>
      <c r="D17" s="9" t="str">
        <f>"https://lh3.googleusercontent.com/d/" &amp; 시즌이미지[[#This Row],[파일ID]]</f>
        <v>https://lh3.googleusercontent.com/d/1spTqSv-vaqD9OTX3zkwoxV5UKIn1KEhh</v>
      </c>
      <c r="E17" s="7" t="str">
        <f>SUBSTITUTE(시즌이미지[[#This Row],[파일명]], ".png","")</f>
        <v>23NG</v>
      </c>
      <c r="F17" s="8" t="e" vm="16">
        <f>_xlfn.IMAGE(시즌이미지[[#This Row],[함수용주소를 DIRECT주소로 변경]],시즌이미지[[#This Row],[대체텍스트]],3,33.642,41.958)</f>
        <v>#VALUE!</v>
      </c>
    </row>
    <row r="18" spans="1:6" ht="32.799999999999997" customHeight="1" x14ac:dyDescent="0.3">
      <c r="A18" s="6" t="s">
        <v>330</v>
      </c>
      <c r="B18" s="9" t="s">
        <v>213</v>
      </c>
      <c r="C18" s="8" t="s">
        <v>452</v>
      </c>
      <c r="D18" s="9" t="str">
        <f>"https://lh3.googleusercontent.com/d/" &amp; 시즌이미지[[#This Row],[파일ID]]</f>
        <v>https://lh3.googleusercontent.com/d/13zP0x8QMMB1NYkh4LMupEFj9N43C5Oox</v>
      </c>
      <c r="E18" s="7" t="str">
        <f>SUBSTITUTE(시즌이미지[[#This Row],[파일명]], ".png","")</f>
        <v>23PL</v>
      </c>
      <c r="F18" s="8" t="e" vm="17">
        <f>_xlfn.IMAGE(시즌이미지[[#This Row],[함수용주소를 DIRECT주소로 변경]],시즌이미지[[#This Row],[대체텍스트]],3,33.642,41.958)</f>
        <v>#VALUE!</v>
      </c>
    </row>
    <row r="19" spans="1:6" ht="32.799999999999997" customHeight="1" x14ac:dyDescent="0.3">
      <c r="A19" s="6" t="s">
        <v>164</v>
      </c>
      <c r="B19" s="9" t="s">
        <v>165</v>
      </c>
      <c r="C19" s="8" t="s">
        <v>452</v>
      </c>
      <c r="D19" s="9" t="str">
        <f>"https://lh3.googleusercontent.com/d/" &amp; 시즌이미지[[#This Row],[파일ID]]</f>
        <v>https://lh3.googleusercontent.com/d/13yhA6-1mpZuvrbT1HFcYmfJGGBjejuau</v>
      </c>
      <c r="E19" s="7" t="str">
        <f>SUBSTITUTE(시즌이미지[[#This Row],[파일명]], ".png","")</f>
        <v>23UCL</v>
      </c>
      <c r="F19" s="8" t="e" vm="18">
        <f>_xlfn.IMAGE(시즌이미지[[#This Row],[함수용주소를 DIRECT주소로 변경]],시즌이미지[[#This Row],[대체텍스트]],3,33.642,41.958)</f>
        <v>#VALUE!</v>
      </c>
    </row>
    <row r="20" spans="1:6" ht="32.799999999999997" customHeight="1" x14ac:dyDescent="0.3">
      <c r="A20" s="6" t="s">
        <v>236</v>
      </c>
      <c r="B20" s="9" t="s">
        <v>237</v>
      </c>
      <c r="C20" s="8" t="s">
        <v>452</v>
      </c>
      <c r="D20" s="9" t="str">
        <f>"https://lh3.googleusercontent.com/d/" &amp; 시즌이미지[[#This Row],[파일ID]]</f>
        <v>https://lh3.googleusercontent.com/d/1IDhWKFfGYXjIl8QOdtCmc2tlv8aBJ8P3</v>
      </c>
      <c r="E20" s="7" t="str">
        <f>SUBSTITUTE(시즌이미지[[#This Row],[파일명]], ".png","")</f>
        <v>24EP</v>
      </c>
      <c r="F20" s="8" t="e" vm="19">
        <f>_xlfn.IMAGE(시즌이미지[[#This Row],[함수용주소를 DIRECT주소로 변경]],시즌이미지[[#This Row],[대체텍스트]],3,33.642,41.958)</f>
        <v>#VALUE!</v>
      </c>
    </row>
    <row r="21" spans="1:6" ht="32.799999999999997" customHeight="1" x14ac:dyDescent="0.3">
      <c r="A21" s="6" t="s">
        <v>331</v>
      </c>
      <c r="B21" s="9" t="s">
        <v>60</v>
      </c>
      <c r="C21" s="8" t="s">
        <v>452</v>
      </c>
      <c r="D21" s="9" t="str">
        <f>"https://lh3.googleusercontent.com/d/" &amp; 시즌이미지[[#This Row],[파일ID]]</f>
        <v>https://lh3.googleusercontent.com/d/1cMjlm8j0ChYV6dJ0auOQZ70fwE5Bzmao</v>
      </c>
      <c r="E21" s="7" t="str">
        <f>SUBSTITUTE(시즌이미지[[#This Row],[파일명]], ".png","")</f>
        <v>24KB</v>
      </c>
      <c r="F21" s="8" t="e" vm="20">
        <f>_xlfn.IMAGE(시즌이미지[[#This Row],[함수용주소를 DIRECT주소로 변경]],시즌이미지[[#This Row],[대체텍스트]],3,33.642,41.958)</f>
        <v>#VALUE!</v>
      </c>
    </row>
    <row r="22" spans="1:6" ht="32.799999999999997" customHeight="1" x14ac:dyDescent="0.3">
      <c r="A22" s="6" t="s">
        <v>332</v>
      </c>
      <c r="B22" s="9" t="s">
        <v>333</v>
      </c>
      <c r="C22" s="8" t="s">
        <v>452</v>
      </c>
      <c r="D22" s="9" t="str">
        <f>"https://lh3.googleusercontent.com/d/" &amp; 시즌이미지[[#This Row],[파일ID]]</f>
        <v>https://lh3.googleusercontent.com/d/1f2EqI_elTl1wPsbaOG2D9y3sebF3LmAH</v>
      </c>
      <c r="E22" s="7" t="str">
        <f>SUBSTITUTE(시즌이미지[[#This Row],[파일명]], ".png","")</f>
        <v>18LIVE</v>
      </c>
      <c r="F22" s="8" t="e" vm="21">
        <f>_xlfn.IMAGE(시즌이미지[[#This Row],[함수용주소를 DIRECT주소로 변경]],시즌이미지[[#This Row],[대체텍스트]],3,33.642,41.958)</f>
        <v>#VALUE!</v>
      </c>
    </row>
    <row r="23" spans="1:6" ht="32.799999999999997" customHeight="1" x14ac:dyDescent="0.3">
      <c r="A23" s="6" t="s">
        <v>334</v>
      </c>
      <c r="B23" s="9" t="s">
        <v>167</v>
      </c>
      <c r="C23" s="8" t="s">
        <v>452</v>
      </c>
      <c r="D23" s="9" t="str">
        <f>"https://lh3.googleusercontent.com/d/" &amp; 시즌이미지[[#This Row],[파일ID]]</f>
        <v>https://lh3.googleusercontent.com/d/1k_Fd_o6wWdoKYQt33uBJpSGIwzZLLRh6</v>
      </c>
      <c r="E23" s="7" t="str">
        <f>SUBSTITUTE(시즌이미지[[#This Row],[파일명]], ".png","")</f>
        <v>24PL</v>
      </c>
      <c r="F23" s="8" t="e" vm="22">
        <f>_xlfn.IMAGE(시즌이미지[[#This Row],[함수용주소를 DIRECT주소로 변경]],시즌이미지[[#This Row],[대체텍스트]],3,33.642,41.958)</f>
        <v>#VALUE!</v>
      </c>
    </row>
    <row r="24" spans="1:6" ht="32.799999999999997" customHeight="1" x14ac:dyDescent="0.3">
      <c r="A24" s="6" t="s">
        <v>245</v>
      </c>
      <c r="B24" s="9" t="s">
        <v>246</v>
      </c>
      <c r="C24" s="8" t="s">
        <v>452</v>
      </c>
      <c r="D24" s="9" t="str">
        <f>"https://lh3.googleusercontent.com/d/" &amp; 시즌이미지[[#This Row],[파일ID]]</f>
        <v>https://lh3.googleusercontent.com/d/1UwgDHN1AkYbIVGsdbiifegCaRUigbrfX</v>
      </c>
      <c r="E24" s="7" t="str">
        <f>SUBSTITUTE(시즌이미지[[#This Row],[파일명]], ".png","")</f>
        <v>24UCL</v>
      </c>
      <c r="F24" s="8" t="e" vm="23">
        <f>_xlfn.IMAGE(시즌이미지[[#This Row],[함수용주소를 DIRECT주소로 변경]],시즌이미지[[#This Row],[대체텍스트]],3,33.642,41.958)</f>
        <v>#VALUE!</v>
      </c>
    </row>
    <row r="25" spans="1:6" ht="32.799999999999997" customHeight="1" x14ac:dyDescent="0.3">
      <c r="A25" s="6" t="s">
        <v>254</v>
      </c>
      <c r="B25" s="9" t="s">
        <v>255</v>
      </c>
      <c r="C25" s="8" t="s">
        <v>452</v>
      </c>
      <c r="D25" s="9" t="str">
        <f>"https://lh3.googleusercontent.com/d/" &amp; 시즌이미지[[#This Row],[파일ID]]</f>
        <v>https://lh3.googleusercontent.com/d/1slS4Bu6OadNkupFZCOxer5FCmKI03H39</v>
      </c>
      <c r="E25" s="7" t="str">
        <f>SUBSTITUTE(시즌이미지[[#This Row],[파일명]], ".png","")</f>
        <v>25DP</v>
      </c>
      <c r="F25" s="8" t="e" vm="24">
        <f>_xlfn.IMAGE(시즌이미지[[#This Row],[함수용주소를 DIRECT주소로 변경]],시즌이미지[[#This Row],[대체텍스트]],3,33.642,41.958)</f>
        <v>#VALUE!</v>
      </c>
    </row>
    <row r="26" spans="1:6" ht="32.799999999999997" customHeight="1" x14ac:dyDescent="0.3">
      <c r="A26" s="6" t="s">
        <v>65</v>
      </c>
      <c r="B26" s="9" t="s">
        <v>66</v>
      </c>
      <c r="C26" s="8" t="s">
        <v>452</v>
      </c>
      <c r="D26" s="9" t="str">
        <f>"https://lh3.googleusercontent.com/d/" &amp; 시즌이미지[[#This Row],[파일ID]]</f>
        <v>https://lh3.googleusercontent.com/d/1uyizApWq6aD_CPCAyiGDaK060EeJjc4G</v>
      </c>
      <c r="E26" s="7" t="str">
        <f>SUBSTITUTE(시즌이미지[[#This Row],[파일명]], ".png","")</f>
        <v>25FSL</v>
      </c>
      <c r="F26" s="8" t="e" vm="25">
        <f>_xlfn.IMAGE(시즌이미지[[#This Row],[함수용주소를 DIRECT주소로 변경]],시즌이미지[[#This Row],[대체텍스트]],3,33.642,41.958)</f>
        <v>#VALUE!</v>
      </c>
    </row>
    <row r="27" spans="1:6" ht="32.799999999999997" customHeight="1" x14ac:dyDescent="0.3">
      <c r="A27" s="6" t="s">
        <v>68</v>
      </c>
      <c r="B27" s="9" t="s">
        <v>69</v>
      </c>
      <c r="C27" s="8" t="s">
        <v>452</v>
      </c>
      <c r="D27" s="9" t="str">
        <f>"https://lh3.googleusercontent.com/d/" &amp; 시즌이미지[[#This Row],[파일ID]]</f>
        <v>https://lh3.googleusercontent.com/d/1xmNxqz6weMXAsAPiJNzauU2if5kHa49S</v>
      </c>
      <c r="E27" s="7" t="str">
        <f>SUBSTITUTE(시즌이미지[[#This Row],[파일명]], ".png","")</f>
        <v>25HR</v>
      </c>
      <c r="F27" s="8" t="e" vm="26">
        <f>_xlfn.IMAGE(시즌이미지[[#This Row],[함수용주소를 DIRECT주소로 변경]],시즌이미지[[#This Row],[대체텍스트]],3,33.642,41.958)</f>
        <v>#VALUE!</v>
      </c>
    </row>
    <row r="28" spans="1:6" ht="32.799999999999997" customHeight="1" x14ac:dyDescent="0.3">
      <c r="A28" s="6" t="s">
        <v>248</v>
      </c>
      <c r="B28" s="9" t="s">
        <v>249</v>
      </c>
      <c r="C28" s="8" t="s">
        <v>452</v>
      </c>
      <c r="D28" s="9" t="str">
        <f>"https://lh3.googleusercontent.com/d/" &amp; 시즌이미지[[#This Row],[파일ID]]</f>
        <v>https://lh3.googleusercontent.com/d/126eeJZ1WAbAvoa1-OgyxtRjtETUbhxAi</v>
      </c>
      <c r="E28" s="7" t="str">
        <f>SUBSTITUTE(시즌이미지[[#This Row],[파일명]], ".png","")</f>
        <v>25KB</v>
      </c>
      <c r="F28" s="8" t="e" vm="27">
        <f>_xlfn.IMAGE(시즌이미지[[#This Row],[함수용주소를 DIRECT주소로 변경]],시즌이미지[[#This Row],[대체텍스트]],3,33.642,41.958)</f>
        <v>#VALUE!</v>
      </c>
    </row>
    <row r="29" spans="1:6" ht="32.799999999999997" customHeight="1" x14ac:dyDescent="0.3">
      <c r="A29" s="6" t="s">
        <v>335</v>
      </c>
      <c r="B29" s="9" t="s">
        <v>336</v>
      </c>
      <c r="C29" s="8" t="s">
        <v>452</v>
      </c>
      <c r="D29" s="9" t="str">
        <f>"https://lh3.googleusercontent.com/d/" &amp; 시즌이미지[[#This Row],[파일ID]]</f>
        <v>https://lh3.googleusercontent.com/d/1tvJKyC4K65-CurFVl6QWalMYVojDLHuO</v>
      </c>
      <c r="E29" s="7" t="str">
        <f>SUBSTITUTE(시즌이미지[[#This Row],[파일명]], ".png","")</f>
        <v>19LIVE</v>
      </c>
      <c r="F29" s="8" t="e" vm="28">
        <f>_xlfn.IMAGE(시즌이미지[[#This Row],[함수용주소를 DIRECT주소로 변경]],시즌이미지[[#This Row],[대체텍스트]],3,33.642,41.958)</f>
        <v>#VALUE!</v>
      </c>
    </row>
    <row r="30" spans="1:6" ht="32.799999999999997" customHeight="1" x14ac:dyDescent="0.3">
      <c r="A30" s="6" t="s">
        <v>337</v>
      </c>
      <c r="B30" s="9" t="s">
        <v>190</v>
      </c>
      <c r="C30" s="8" t="s">
        <v>452</v>
      </c>
      <c r="D30" s="9" t="str">
        <f>"https://lh3.googleusercontent.com/d/" &amp; 시즌이미지[[#This Row],[파일ID]]</f>
        <v>https://lh3.googleusercontent.com/d/1yUkqXnSu2moH3YpMzpAMagq-DjbJlRMq</v>
      </c>
      <c r="E30" s="7" t="str">
        <f>SUBSTITUTE(시즌이미지[[#This Row],[파일명]], ".png","")</f>
        <v>25PL</v>
      </c>
      <c r="F30" s="8" t="e" vm="29">
        <f>_xlfn.IMAGE(시즌이미지[[#This Row],[함수용주소를 DIRECT주소로 변경]],시즌이미지[[#This Row],[대체텍스트]],3,33.642,41.958)</f>
        <v>#VALUE!</v>
      </c>
    </row>
    <row r="31" spans="1:6" ht="32.799999999999997" customHeight="1" x14ac:dyDescent="0.3">
      <c r="A31" s="6" t="s">
        <v>338</v>
      </c>
      <c r="B31" s="9" t="s">
        <v>107</v>
      </c>
      <c r="C31" s="8" t="s">
        <v>452</v>
      </c>
      <c r="D31" s="9" t="str">
        <f>"https://lh3.googleusercontent.com/d/" &amp; 시즌이미지[[#This Row],[파일ID]]</f>
        <v>https://lh3.googleusercontent.com/d/1Z0SVxlC3CWAKxtcCxfOuacqLBNe_N8Ql</v>
      </c>
      <c r="E31" s="7" t="str">
        <f>SUBSTITUTE(시즌이미지[[#This Row],[파일명]], ".png","")</f>
        <v>25TY-N</v>
      </c>
      <c r="F31" s="8" t="e" vm="30">
        <f>_xlfn.IMAGE(시즌이미지[[#This Row],[함수용주소를 DIRECT주소로 변경]],시즌이미지[[#This Row],[대체텍스트]],3,33.642,41.958)</f>
        <v>#VALUE!</v>
      </c>
    </row>
    <row r="32" spans="1:6" ht="32.799999999999997" customHeight="1" x14ac:dyDescent="0.3">
      <c r="A32" s="6" t="s">
        <v>339</v>
      </c>
      <c r="B32" s="9" t="s">
        <v>91</v>
      </c>
      <c r="C32" s="8" t="s">
        <v>452</v>
      </c>
      <c r="D32" s="9" t="str">
        <f>"https://lh3.googleusercontent.com/d/" &amp; 시즌이미지[[#This Row],[파일ID]]</f>
        <v>https://lh3.googleusercontent.com/d/1gtM3iyUXeAb8cUC8hBtmEWknp7SvEp9w</v>
      </c>
      <c r="E32" s="7" t="str">
        <f>SUBSTITUTE(시즌이미지[[#This Row],[파일명]], ".png","")</f>
        <v>25TY</v>
      </c>
      <c r="F32" s="8" t="e" vm="31">
        <f>_xlfn.IMAGE(시즌이미지[[#This Row],[함수용주소를 DIRECT주소로 변경]],시즌이미지[[#This Row],[대체텍스트]],3,33.642,41.958)</f>
        <v>#VALUE!</v>
      </c>
    </row>
    <row r="33" spans="1:6" ht="32.799999999999997" customHeight="1" x14ac:dyDescent="0.3">
      <c r="A33" s="6" t="s">
        <v>275</v>
      </c>
      <c r="B33" s="9" t="s">
        <v>276</v>
      </c>
      <c r="C33" s="8" t="s">
        <v>452</v>
      </c>
      <c r="D33" s="9" t="str">
        <f>"https://lh3.googleusercontent.com/d/" &amp; 시즌이미지[[#This Row],[파일ID]]</f>
        <v>https://lh3.googleusercontent.com/d/1AvOFFwG3EpnlvuMG8ynnFbgoiTvsngiK</v>
      </c>
      <c r="E33" s="7" t="str">
        <f>SUBSTITUTE(시즌이미지[[#This Row],[파일명]], ".png","")</f>
        <v>25TS</v>
      </c>
      <c r="F33" s="8" t="e" vm="32">
        <f>_xlfn.IMAGE(시즌이미지[[#This Row],[함수용주소를 DIRECT주소로 변경]],시즌이미지[[#This Row],[대체텍스트]],3,33.642,41.958)</f>
        <v>#VALUE!</v>
      </c>
    </row>
    <row r="34" spans="1:6" ht="32.799999999999997" customHeight="1" x14ac:dyDescent="0.3">
      <c r="A34" s="6" t="s">
        <v>218</v>
      </c>
      <c r="B34" s="9" t="s">
        <v>219</v>
      </c>
      <c r="C34" s="8" t="s">
        <v>452</v>
      </c>
      <c r="D34" s="9" t="str">
        <f>"https://lh3.googleusercontent.com/d/" &amp; 시즌이미지[[#This Row],[파일ID]]</f>
        <v>https://lh3.googleusercontent.com/d/1i2bC49GdOa8qPEiMFzin8iU18LkB38TM</v>
      </c>
      <c r="E34" s="7" t="str">
        <f>SUBSTITUTE(시즌이미지[[#This Row],[파일명]], ".png","")</f>
        <v>25UCL</v>
      </c>
      <c r="F34" s="8" t="e" vm="33">
        <f>_xlfn.IMAGE(시즌이미지[[#This Row],[함수용주소를 DIRECT주소로 변경]],시즌이미지[[#This Row],[대체텍스트]],3,33.642,41.958)</f>
        <v>#VALUE!</v>
      </c>
    </row>
    <row r="35" spans="1:6" ht="32.799999999999997" customHeight="1" x14ac:dyDescent="0.3">
      <c r="A35" s="6" t="s">
        <v>71</v>
      </c>
      <c r="B35" s="9" t="s">
        <v>72</v>
      </c>
      <c r="C35" s="8" t="s">
        <v>452</v>
      </c>
      <c r="D35" s="9" t="str">
        <f>"https://lh3.googleusercontent.com/d/" &amp; 시즌이미지[[#This Row],[파일ID]]</f>
        <v>https://lh3.googleusercontent.com/d/1V3IzWFUCOfsoQd-bmsjHmR3SeVLgJt4W</v>
      </c>
      <c r="E35" s="7" t="str">
        <f>SUBSTITUTE(시즌이미지[[#This Row],[파일명]], ".png","")</f>
        <v>26HR</v>
      </c>
      <c r="F35" s="8" t="e" vm="34">
        <f>_xlfn.IMAGE(시즌이미지[[#This Row],[함수용주소를 DIRECT주소로 변경]],시즌이미지[[#This Row],[대체텍스트]],3,33.642,41.958)</f>
        <v>#VALUE!</v>
      </c>
    </row>
    <row r="36" spans="1:6" ht="32.799999999999997" customHeight="1" x14ac:dyDescent="0.3">
      <c r="A36" s="6" t="s">
        <v>269</v>
      </c>
      <c r="B36" s="9" t="s">
        <v>270</v>
      </c>
      <c r="C36" s="8" t="s">
        <v>452</v>
      </c>
      <c r="D36" s="9" t="str">
        <f>"https://lh3.googleusercontent.com/d/" &amp; 시즌이미지[[#This Row],[파일ID]]</f>
        <v>https://lh3.googleusercontent.com/d/1Oo7spCoBHe40EUe4bJHWccjWmqMy71eG</v>
      </c>
      <c r="E36" s="7" t="str">
        <f>SUBSTITUTE(시즌이미지[[#This Row],[파일명]], ".png","")</f>
        <v>26TY</v>
      </c>
      <c r="F36" s="8" t="e" vm="35">
        <f>_xlfn.IMAGE(시즌이미지[[#This Row],[함수용주소를 DIRECT주소로 변경]],시즌이미지[[#This Row],[대체텍스트]],3,33.642,41.958)</f>
        <v>#VALUE!</v>
      </c>
    </row>
    <row r="37" spans="1:6" ht="32.799999999999997" customHeight="1" x14ac:dyDescent="0.3">
      <c r="A37" s="6" t="s">
        <v>266</v>
      </c>
      <c r="B37" s="9" t="s">
        <v>267</v>
      </c>
      <c r="C37" s="8" t="s">
        <v>452</v>
      </c>
      <c r="D37" s="9" t="str">
        <f>"https://lh3.googleusercontent.com/d/" &amp; 시즌이미지[[#This Row],[파일ID]]</f>
        <v>https://lh3.googleusercontent.com/d/1p85NUVvhj1xoUTMFjibOtyNZZUpxWohl</v>
      </c>
      <c r="E37" s="7" t="str">
        <f>SUBSTITUTE(시즌이미지[[#This Row],[파일명]], ".png","")</f>
        <v>26TY-N</v>
      </c>
      <c r="F37" s="8" t="e" vm="36">
        <f>_xlfn.IMAGE(시즌이미지[[#This Row],[함수용주소를 DIRECT주소로 변경]],시즌이미지[[#This Row],[대체텍스트]],3,33.642,41.958)</f>
        <v>#VALUE!</v>
      </c>
    </row>
    <row r="38" spans="1:6" ht="32.799999999999997" customHeight="1" x14ac:dyDescent="0.3">
      <c r="A38" s="6" t="s">
        <v>221</v>
      </c>
      <c r="B38" s="9" t="s">
        <v>222</v>
      </c>
      <c r="C38" s="8" t="s">
        <v>452</v>
      </c>
      <c r="D38" s="9" t="str">
        <f>"https://lh3.googleusercontent.com/d/" &amp; 시즌이미지[[#This Row],[파일ID]]</f>
        <v>https://lh3.googleusercontent.com/d/1-hNeBC3UuO0D34rdZHZUDel6ENfDUcE_</v>
      </c>
      <c r="E38" s="7" t="str">
        <f>SUBSTITUTE(시즌이미지[[#This Row],[파일명]], ".png","")</f>
        <v>BDO</v>
      </c>
      <c r="F38" s="8" t="e" vm="37">
        <f>_xlfn.IMAGE(시즌이미지[[#This Row],[함수용주소를 DIRECT주소로 변경]],시즌이미지[[#This Row],[대체텍스트]],3,33.642,41.958)</f>
        <v>#VALUE!</v>
      </c>
    </row>
    <row r="39" spans="1:6" ht="32.799999999999997" customHeight="1" x14ac:dyDescent="0.3">
      <c r="A39" s="6" t="s">
        <v>210</v>
      </c>
      <c r="B39" s="9" t="s">
        <v>211</v>
      </c>
      <c r="C39" s="8" t="s">
        <v>452</v>
      </c>
      <c r="D39" s="9" t="str">
        <f>"https://lh3.googleusercontent.com/d/" &amp; 시즌이미지[[#This Row],[파일ID]]</f>
        <v>https://lh3.googleusercontent.com/d/1_FO5OSTBkVxFHmdpi3p5wMMzDeKe6EKd</v>
      </c>
      <c r="E39" s="7" t="str">
        <f>SUBSTITUTE(시즌이미지[[#This Row],[파일명]], ".png","")</f>
        <v>BLD</v>
      </c>
      <c r="F39" s="8" t="e" vm="38">
        <f>_xlfn.IMAGE(시즌이미지[[#This Row],[함수용주소를 DIRECT주소로 변경]],시즌이미지[[#This Row],[대체텍스트]],3,33.642,41.958)</f>
        <v>#VALUE!</v>
      </c>
    </row>
    <row r="40" spans="1:6" ht="32.799999999999997" customHeight="1" x14ac:dyDescent="0.3">
      <c r="A40" s="6" t="s">
        <v>195</v>
      </c>
      <c r="B40" s="9" t="s">
        <v>196</v>
      </c>
      <c r="C40" s="8" t="s">
        <v>452</v>
      </c>
      <c r="D40" s="9" t="str">
        <f>"https://lh3.googleusercontent.com/d/" &amp; 시즌이미지[[#This Row],[파일ID]]</f>
        <v>https://lh3.googleusercontent.com/d/1pZPnuOIY0rvTM3j9KrgGyOusu-bbmKLC</v>
      </c>
      <c r="E40" s="7" t="str">
        <f>SUBSTITUTE(시즌이미지[[#This Row],[파일명]], ".png","")</f>
        <v>BOE21</v>
      </c>
      <c r="F40" s="8" t="e" vm="39">
        <f>_xlfn.IMAGE(시즌이미지[[#This Row],[함수용주소를 DIRECT주소로 변경]],시즌이미지[[#This Row],[대체텍스트]],3,33.642,41.958)</f>
        <v>#VALUE!</v>
      </c>
    </row>
    <row r="41" spans="1:6" ht="32.799999999999997" customHeight="1" x14ac:dyDescent="0.3">
      <c r="A41" s="6" t="s">
        <v>158</v>
      </c>
      <c r="B41" s="9" t="s">
        <v>159</v>
      </c>
      <c r="C41" s="8" t="s">
        <v>452</v>
      </c>
      <c r="D41" s="9" t="str">
        <f>"https://lh3.googleusercontent.com/d/" &amp; 시즌이미지[[#This Row],[파일ID]]</f>
        <v>https://lh3.googleusercontent.com/d/1LIqCU6blcnCcWf-ZqT7DLZ1-BSnHbAbB</v>
      </c>
      <c r="E41" s="7" t="str">
        <f>SUBSTITUTE(시즌이미지[[#This Row],[파일명]], ".png","")</f>
        <v>BTB</v>
      </c>
      <c r="F41" s="8" t="e" vm="40">
        <f>_xlfn.IMAGE(시즌이미지[[#This Row],[함수용주소를 DIRECT주소로 변경]],시즌이미지[[#This Row],[대체텍스트]],3,33.642,41.958)</f>
        <v>#VALUE!</v>
      </c>
    </row>
    <row r="42" spans="1:6" ht="32.799999999999997" customHeight="1" x14ac:dyDescent="0.3">
      <c r="A42" s="6" t="s">
        <v>85</v>
      </c>
      <c r="B42" s="9" t="s">
        <v>86</v>
      </c>
      <c r="C42" s="8" t="s">
        <v>452</v>
      </c>
      <c r="D42" s="9" t="str">
        <f>"https://lh3.googleusercontent.com/d/" &amp; 시즌이미지[[#This Row],[파일ID]]</f>
        <v>https://lh3.googleusercontent.com/d/1jI3qGsJtsMvCVsv4b3ftltjfJumES6tq</v>
      </c>
      <c r="E42" s="7" t="str">
        <f>SUBSTITUTE(시즌이미지[[#This Row],[파일명]], ".png","")</f>
        <v>BWC</v>
      </c>
      <c r="F42" s="8" t="e" vm="41">
        <f>_xlfn.IMAGE(시즌이미지[[#This Row],[함수용주소를 DIRECT주소로 변경]],시즌이미지[[#This Row],[대체텍스트]],3,33.642,41.958)</f>
        <v>#VALUE!</v>
      </c>
    </row>
    <row r="43" spans="1:6" ht="32.799999999999997" customHeight="1" x14ac:dyDescent="0.3">
      <c r="A43" s="6" t="s">
        <v>96</v>
      </c>
      <c r="B43" s="9" t="s">
        <v>97</v>
      </c>
      <c r="C43" s="8" t="s">
        <v>452</v>
      </c>
      <c r="D43" s="9" t="str">
        <f>"https://lh3.googleusercontent.com/d/" &amp; 시즌이미지[[#This Row],[파일ID]]</f>
        <v>https://lh3.googleusercontent.com/d/1pnmR2t7PiN1FVKzsB0pnc79_GXjLcO31</v>
      </c>
      <c r="E43" s="7" t="str">
        <f>SUBSTITUTE(시즌이미지[[#This Row],[파일명]], ".png","")</f>
        <v>CAP</v>
      </c>
      <c r="F43" s="8" t="e" vm="42">
        <f>_xlfn.IMAGE(시즌이미지[[#This Row],[함수용주소를 DIRECT주소로 변경]],시즌이미지[[#This Row],[대체텍스트]],3,33.642,41.958)</f>
        <v>#VALUE!</v>
      </c>
    </row>
    <row r="44" spans="1:6" ht="32.799999999999997" customHeight="1" x14ac:dyDescent="0.3">
      <c r="A44" s="6" t="s">
        <v>181</v>
      </c>
      <c r="B44" s="9" t="s">
        <v>182</v>
      </c>
      <c r="C44" s="8" t="s">
        <v>452</v>
      </c>
      <c r="D44" s="9" t="str">
        <f>"https://lh3.googleusercontent.com/d/" &amp; 시즌이미지[[#This Row],[파일ID]]</f>
        <v>https://lh3.googleusercontent.com/d/1gWuEmDzEmRTKkcYxvUyUXt0H_Z8q_-dT</v>
      </c>
      <c r="E44" s="7" t="str">
        <f>SUBSTITUTE(시즌이미지[[#This Row],[파일명]], ".png","")</f>
        <v>CC</v>
      </c>
      <c r="F44" s="8" t="e" vm="43">
        <f>_xlfn.IMAGE(시즌이미지[[#This Row],[함수용주소를 DIRECT주소로 변경]],시즌이미지[[#This Row],[대체텍스트]],3,33.642,41.958)</f>
        <v>#VALUE!</v>
      </c>
    </row>
    <row r="45" spans="1:6" ht="32.799999999999997" customHeight="1" x14ac:dyDescent="0.3">
      <c r="A45" s="6" t="s">
        <v>257</v>
      </c>
      <c r="B45" s="9" t="s">
        <v>258</v>
      </c>
      <c r="C45" s="8" t="s">
        <v>452</v>
      </c>
      <c r="D45" s="9" t="str">
        <f>"https://lh3.googleusercontent.com/d/" &amp; 시즌이미지[[#This Row],[파일ID]]</f>
        <v>https://lh3.googleusercontent.com/d/1MpJI6kcdNSsCzAhGgmq8J54ChAbDOn8T</v>
      </c>
      <c r="E45" s="7" t="str">
        <f>SUBSTITUTE(시즌이미지[[#This Row],[파일명]], ".png","")</f>
        <v>CH</v>
      </c>
      <c r="F45" s="8" t="e" vm="44">
        <f>_xlfn.IMAGE(시즌이미지[[#This Row],[함수용주소를 DIRECT주소로 변경]],시즌이미지[[#This Row],[대체텍스트]],3,33.642,41.958)</f>
        <v>#VALUE!</v>
      </c>
    </row>
    <row r="46" spans="1:6" ht="32.799999999999997" customHeight="1" x14ac:dyDescent="0.3">
      <c r="A46" s="6" t="s">
        <v>175</v>
      </c>
      <c r="B46" s="9" t="s">
        <v>176</v>
      </c>
      <c r="C46" s="8" t="s">
        <v>452</v>
      </c>
      <c r="D46" s="9" t="str">
        <f>"https://lh3.googleusercontent.com/d/" &amp; 시즌이미지[[#This Row],[파일ID]]</f>
        <v>https://lh3.googleusercontent.com/d/1xiHllI3-i9qRLwdrhULUHXX8omJ06h1Y</v>
      </c>
      <c r="E46" s="7" t="str">
        <f>SUBSTITUTE(시즌이미지[[#This Row],[파일명]], ".png","")</f>
        <v>COC</v>
      </c>
      <c r="F46" s="8" t="e" vm="45">
        <f>_xlfn.IMAGE(시즌이미지[[#This Row],[함수용주소를 DIRECT주소로 변경]],시즌이미지[[#This Row],[대체텍스트]],3,33.642,41.958)</f>
        <v>#VALUE!</v>
      </c>
    </row>
    <row r="47" spans="1:6" ht="32.799999999999997" customHeight="1" x14ac:dyDescent="0.3">
      <c r="A47" s="6" t="s">
        <v>239</v>
      </c>
      <c r="B47" s="9" t="s">
        <v>240</v>
      </c>
      <c r="C47" s="8" t="s">
        <v>452</v>
      </c>
      <c r="D47" s="9" t="str">
        <f>"https://lh3.googleusercontent.com/d/" &amp; 시즌이미지[[#This Row],[파일ID]]</f>
        <v>https://lh3.googleusercontent.com/d/1eei_1_0H_hmD9qF-OM3F3g-h50djLHaO</v>
      </c>
      <c r="E47" s="7" t="str">
        <f>SUBSTITUTE(시즌이미지[[#This Row],[파일명]], ".png","")</f>
        <v>CU</v>
      </c>
      <c r="F47" s="8" t="e" vm="46">
        <f>_xlfn.IMAGE(시즌이미지[[#This Row],[함수용주소를 DIRECT주소로 변경]],시즌이미지[[#This Row],[대체텍스트]],3,33.642,41.958)</f>
        <v>#VALUE!</v>
      </c>
    </row>
    <row r="48" spans="1:6" ht="32.799999999999997" customHeight="1" x14ac:dyDescent="0.3">
      <c r="A48" s="6" t="s">
        <v>146</v>
      </c>
      <c r="B48" s="9" t="s">
        <v>147</v>
      </c>
      <c r="C48" s="8" t="s">
        <v>452</v>
      </c>
      <c r="D48" s="9" t="str">
        <f>"https://lh3.googleusercontent.com/d/" &amp; 시즌이미지[[#This Row],[파일ID]]</f>
        <v>https://lh3.googleusercontent.com/d/1X5O_nktVqj1a_6ZT7HWTKJp4pcaXgQbD</v>
      </c>
      <c r="E48" s="7" t="str">
        <f>SUBSTITUTE(시즌이미지[[#This Row],[파일명]], ".png","")</f>
        <v>DC</v>
      </c>
      <c r="F48" s="8" t="e" vm="47">
        <f>_xlfn.IMAGE(시즌이미지[[#This Row],[함수용주소를 DIRECT주소로 변경]],시즌이미지[[#This Row],[대체텍스트]],3,33.642,41.958)</f>
        <v>#VALUE!</v>
      </c>
    </row>
    <row r="49" spans="1:6" ht="32.799999999999997" customHeight="1" x14ac:dyDescent="0.3">
      <c r="A49" s="6" t="s">
        <v>251</v>
      </c>
      <c r="B49" s="9" t="s">
        <v>252</v>
      </c>
      <c r="C49" s="8" t="s">
        <v>452</v>
      </c>
      <c r="D49" s="9" t="str">
        <f>"https://lh3.googleusercontent.com/d/" &amp; 시즌이미지[[#This Row],[파일ID]]</f>
        <v>https://lh3.googleusercontent.com/d/1fRqUdNOoRwXd4LlAMMlxO60bvYolHhwc</v>
      </c>
      <c r="E49" s="7" t="str">
        <f>SUBSTITUTE(시즌이미지[[#This Row],[파일명]], ".png","")</f>
        <v>DCB</v>
      </c>
      <c r="F49" s="8" t="e" vm="48">
        <f>_xlfn.IMAGE(시즌이미지[[#This Row],[함수용주소를 DIRECT주소로 변경]],시즌이미지[[#This Row],[대체텍스트]],3,33.642,41.958)</f>
        <v>#VALUE!</v>
      </c>
    </row>
    <row r="50" spans="1:6" ht="32.799999999999997" customHeight="1" x14ac:dyDescent="0.3">
      <c r="A50" s="6" t="s">
        <v>227</v>
      </c>
      <c r="B50" s="9" t="s">
        <v>228</v>
      </c>
      <c r="C50" s="8" t="s">
        <v>452</v>
      </c>
      <c r="D50" s="9" t="str">
        <f>"https://lh3.googleusercontent.com/d/" &amp; 시즌이미지[[#This Row],[파일ID]]</f>
        <v>https://lh3.googleusercontent.com/d/1pgAWiXukmKFcLUEO4Yb0vrTZe1XIQqDP</v>
      </c>
      <c r="E50" s="7" t="str">
        <f>SUBSTITUTE(시즌이미지[[#This Row],[파일명]], ".png","")</f>
        <v>EBS</v>
      </c>
      <c r="F50" s="8" t="e" vm="49">
        <f>_xlfn.IMAGE(시즌이미지[[#This Row],[함수용주소를 DIRECT주소로 변경]],시즌이미지[[#This Row],[대체텍스트]],3,33.642,41.958)</f>
        <v>#VALUE!</v>
      </c>
    </row>
    <row r="51" spans="1:6" ht="32.799999999999997" customHeight="1" x14ac:dyDescent="0.3">
      <c r="A51" s="6" t="s">
        <v>102</v>
      </c>
      <c r="B51" s="9" t="s">
        <v>103</v>
      </c>
      <c r="C51" s="8" t="s">
        <v>452</v>
      </c>
      <c r="D51" s="9" t="str">
        <f>"https://lh3.googleusercontent.com/d/" &amp; 시즌이미지[[#This Row],[파일ID]]</f>
        <v>https://lh3.googleusercontent.com/d/1q6DTC7UjbHWujxlQMGnooUHZgCOSgoc_</v>
      </c>
      <c r="E51" s="7" t="str">
        <f>SUBSTITUTE(시즌이미지[[#This Row],[파일명]], ".png","")</f>
        <v>EU24</v>
      </c>
      <c r="F51" s="8" t="e" vm="50">
        <f>_xlfn.IMAGE(시즌이미지[[#This Row],[함수용주소를 DIRECT주소로 변경]],시즌이미지[[#This Row],[대체텍스트]],3,33.642,41.958)</f>
        <v>#VALUE!</v>
      </c>
    </row>
    <row r="52" spans="1:6" ht="32.799999999999997" customHeight="1" x14ac:dyDescent="0.3">
      <c r="A52" s="6" t="s">
        <v>140</v>
      </c>
      <c r="B52" s="9" t="s">
        <v>141</v>
      </c>
      <c r="C52" s="8" t="s">
        <v>452</v>
      </c>
      <c r="D52" s="9" t="str">
        <f>"https://lh3.googleusercontent.com/d/" &amp; 시즌이미지[[#This Row],[파일ID]]</f>
        <v>https://lh3.googleusercontent.com/d/1h6cu9INHU0gI99onqAuO2AoyWzPPmJBN</v>
      </c>
      <c r="E52" s="7" t="str">
        <f>SUBSTITUTE(시즌이미지[[#This Row],[파일명]], ".png","")</f>
        <v>FA</v>
      </c>
      <c r="F52" s="8" t="e" vm="51">
        <f>_xlfn.IMAGE(시즌이미지[[#This Row],[함수용주소를 DIRECT주소로 변경]],시즌이미지[[#This Row],[대체텍스트]],3,33.642,41.958)</f>
        <v>#VALUE!</v>
      </c>
    </row>
    <row r="53" spans="1:6" ht="32.799999999999997" customHeight="1" x14ac:dyDescent="0.3">
      <c r="A53" s="6" t="s">
        <v>260</v>
      </c>
      <c r="B53" s="9" t="s">
        <v>261</v>
      </c>
      <c r="C53" s="8" t="s">
        <v>452</v>
      </c>
      <c r="D53" s="9" t="str">
        <f>"https://lh3.googleusercontent.com/d/" &amp; 시즌이미지[[#This Row],[파일ID]]</f>
        <v>https://lh3.googleusercontent.com/d/1G0TkXg__QUmeJ3_jylUG2Vr-vfq0UXOl</v>
      </c>
      <c r="E53" s="7" t="str">
        <f>SUBSTITUTE(시즌이미지[[#This Row],[파일명]], ".png","")</f>
        <v>FAC</v>
      </c>
      <c r="F53" s="8" t="e" vm="52">
        <f>_xlfn.IMAGE(시즌이미지[[#This Row],[함수용주소를 DIRECT주소로 변경]],시즌이미지[[#This Row],[대체텍스트]],3,33.642,41.958)</f>
        <v>#VALUE!</v>
      </c>
    </row>
    <row r="54" spans="1:6" ht="32.799999999999997" customHeight="1" x14ac:dyDescent="0.3">
      <c r="A54" s="6" t="s">
        <v>204</v>
      </c>
      <c r="B54" s="9" t="s">
        <v>205</v>
      </c>
      <c r="C54" s="8" t="s">
        <v>452</v>
      </c>
      <c r="D54" s="9" t="str">
        <f>"https://lh3.googleusercontent.com/d/" &amp; 시즌이미지[[#This Row],[파일ID]]</f>
        <v>https://lh3.googleusercontent.com/d/1xv612bU05HIsg9wezZYONEmBfZtDDeRr</v>
      </c>
      <c r="E54" s="7" t="str">
        <f>SUBSTITUTE(시즌이미지[[#This Row],[파일명]], ".png","")</f>
        <v>GR</v>
      </c>
      <c r="F54" s="8" t="e" vm="53">
        <f>_xlfn.IMAGE(시즌이미지[[#This Row],[함수용주소를 DIRECT주소로 변경]],시즌이미지[[#This Row],[대체텍스트]],3,33.642,41.958)</f>
        <v>#VALUE!</v>
      </c>
    </row>
    <row r="55" spans="1:6" ht="32.799999999999997" customHeight="1" x14ac:dyDescent="0.3">
      <c r="A55" s="6" t="s">
        <v>230</v>
      </c>
      <c r="B55" s="9" t="s">
        <v>231</v>
      </c>
      <c r="C55" s="8" t="s">
        <v>452</v>
      </c>
      <c r="D55" s="9" t="str">
        <f>"https://lh3.googleusercontent.com/d/" &amp; 시즌이미지[[#This Row],[파일ID]]</f>
        <v>https://lh3.googleusercontent.com/d/1HFou7HumSP67DoS8IhbAHTLuf8QHyULM</v>
      </c>
      <c r="E55" s="7" t="str">
        <f>SUBSTITUTE(시즌이미지[[#This Row],[파일명]], ".png","")</f>
        <v>GRU</v>
      </c>
      <c r="F55" s="8" t="e" vm="54">
        <f>_xlfn.IMAGE(시즌이미지[[#This Row],[함수용주소를 DIRECT주소로 변경]],시즌이미지[[#This Row],[대체텍스트]],3,33.642,41.958)</f>
        <v>#VALUE!</v>
      </c>
    </row>
    <row r="56" spans="1:6" ht="32.799999999999997" customHeight="1" x14ac:dyDescent="0.3">
      <c r="A56" s="6" t="s">
        <v>152</v>
      </c>
      <c r="B56" s="9" t="s">
        <v>153</v>
      </c>
      <c r="C56" s="8" t="s">
        <v>452</v>
      </c>
      <c r="D56" s="9" t="str">
        <f>"https://lh3.googleusercontent.com/d/" &amp; 시즌이미지[[#This Row],[파일ID]]</f>
        <v>https://lh3.googleusercontent.com/d/1ecTjhlF7jf1RrIou7a759XI9a8DeSQxo</v>
      </c>
      <c r="E56" s="7" t="str">
        <f>SUBSTITUTE(시즌이미지[[#This Row],[파일명]], ".png","")</f>
        <v>HG</v>
      </c>
      <c r="F56" s="8" t="e" vm="55">
        <f>_xlfn.IMAGE(시즌이미지[[#This Row],[함수용주소를 DIRECT주소로 변경]],시즌이미지[[#This Row],[대체텍스트]],3,33.642,41.958)</f>
        <v>#VALUE!</v>
      </c>
    </row>
    <row r="57" spans="1:6" ht="32.799999999999997" customHeight="1" x14ac:dyDescent="0.3">
      <c r="A57" s="6" t="s">
        <v>137</v>
      </c>
      <c r="B57" s="9" t="s">
        <v>138</v>
      </c>
      <c r="C57" s="8" t="s">
        <v>452</v>
      </c>
      <c r="D57" s="9" t="str">
        <f>"https://lh3.googleusercontent.com/d/" &amp; 시즌이미지[[#This Row],[파일ID]]</f>
        <v>https://lh3.googleusercontent.com/d/1jK9pn_OPr9rx4JMwomqxqZYFp1Wp5RC1</v>
      </c>
      <c r="E57" s="7" t="str">
        <f>SUBSTITUTE(시즌이미지[[#This Row],[파일명]], ".png","")</f>
        <v>HOT</v>
      </c>
      <c r="F57" s="8" t="e" vm="56">
        <f>_xlfn.IMAGE(시즌이미지[[#This Row],[함수용주소를 DIRECT주소로 변경]],시즌이미지[[#This Row],[대체텍스트]],3,33.642,41.958)</f>
        <v>#VALUE!</v>
      </c>
    </row>
    <row r="58" spans="1:6" ht="32.799999999999997" customHeight="1" x14ac:dyDescent="0.3">
      <c r="A58" s="6" t="s">
        <v>149</v>
      </c>
      <c r="B58" s="9" t="s">
        <v>150</v>
      </c>
      <c r="C58" s="8" t="s">
        <v>452</v>
      </c>
      <c r="D58" s="9" t="str">
        <f>"https://lh3.googleusercontent.com/d/" &amp; 시즌이미지[[#This Row],[파일ID]]</f>
        <v>https://lh3.googleusercontent.com/d/1GOiQbHAa09fPjsxSA5D-k7oh-hwI1rBu</v>
      </c>
      <c r="E58" s="7" t="str">
        <f>SUBSTITUTE(시즌이미지[[#This Row],[파일명]], ".png","")</f>
        <v>ICON</v>
      </c>
      <c r="F58" s="8" t="e" vm="57">
        <f>_xlfn.IMAGE(시즌이미지[[#This Row],[함수용주소를 DIRECT주소로 변경]],시즌이미지[[#This Row],[대체텍스트]],3,33.642,41.958)</f>
        <v>#VALUE!</v>
      </c>
    </row>
    <row r="59" spans="1:6" ht="32.799999999999997" customHeight="1" x14ac:dyDescent="0.3">
      <c r="A59" s="6" t="s">
        <v>278</v>
      </c>
      <c r="B59" s="9" t="s">
        <v>279</v>
      </c>
      <c r="C59" s="8" t="s">
        <v>452</v>
      </c>
      <c r="D59" s="9" t="str">
        <f>"https://lh3.googleusercontent.com/d/" &amp; 시즌이미지[[#This Row],[파일ID]]</f>
        <v>https://lh3.googleusercontent.com/d/1WCaGeLXsuINqeM5m3BESIxExI38dXBLX</v>
      </c>
      <c r="E59" s="7" t="str">
        <f>SUBSTITUTE(시즌이미지[[#This Row],[파일명]], ".png","")</f>
        <v>JVA</v>
      </c>
      <c r="F59" s="8" t="e" vm="58">
        <f>_xlfn.IMAGE(시즌이미지[[#This Row],[함수용주소를 DIRECT주소로 변경]],시즌이미지[[#This Row],[대체텍스트]],3,33.642,41.958)</f>
        <v>#VALUE!</v>
      </c>
    </row>
    <row r="60" spans="1:6" ht="32.799999999999997" customHeight="1" x14ac:dyDescent="0.3">
      <c r="A60" s="6" t="s">
        <v>99</v>
      </c>
      <c r="B60" s="9" t="s">
        <v>100</v>
      </c>
      <c r="C60" s="8" t="s">
        <v>452</v>
      </c>
      <c r="D60" s="9" t="str">
        <f>"https://lh3.googleusercontent.com/d/" &amp; 시즌이미지[[#This Row],[파일ID]]</f>
        <v>https://lh3.googleusercontent.com/d/1wUUWK8JBAZtR_X-jAFZ8ouO9PDmRfvyM</v>
      </c>
      <c r="E60" s="7" t="str">
        <f>SUBSTITUTE(시즌이미지[[#This Row],[파일명]], ".png","")</f>
        <v>LD</v>
      </c>
      <c r="F60" s="8" t="e" vm="59">
        <f>_xlfn.IMAGE(시즌이미지[[#This Row],[함수용주소를 DIRECT주소로 변경]],시즌이미지[[#This Row],[대체텍스트]],3,33.642,41.958)</f>
        <v>#VALUE!</v>
      </c>
    </row>
    <row r="61" spans="1:6" ht="32.799999999999997" customHeight="1" x14ac:dyDescent="0.3">
      <c r="A61" s="6" t="s">
        <v>224</v>
      </c>
      <c r="B61" s="9" t="s">
        <v>225</v>
      </c>
      <c r="C61" s="8" t="s">
        <v>452</v>
      </c>
      <c r="D61" s="9" t="str">
        <f>"https://lh3.googleusercontent.com/d/" &amp; 시즌이미지[[#This Row],[파일ID]]</f>
        <v>https://lh3.googleusercontent.com/d/1Il7pBkNbCiM6-iAUAwnoOK9G7yGj6uws</v>
      </c>
      <c r="E61" s="7" t="str">
        <f>SUBSTITUTE(시즌이미지[[#This Row],[파일명]], ".png","")</f>
        <v>LE</v>
      </c>
      <c r="F61" s="8" t="e" vm="60">
        <f>_xlfn.IMAGE(시즌이미지[[#This Row],[함수용주소를 DIRECT주소로 변경]],시즌이미지[[#This Row],[대체텍스트]],3,33.642,41.958)</f>
        <v>#VALUE!</v>
      </c>
    </row>
    <row r="62" spans="1:6" ht="32.799999999999997" customHeight="1" x14ac:dyDescent="0.3">
      <c r="A62" s="6" t="s">
        <v>201</v>
      </c>
      <c r="B62" s="9" t="s">
        <v>202</v>
      </c>
      <c r="C62" s="8" t="s">
        <v>452</v>
      </c>
      <c r="D62" s="9" t="str">
        <f>"https://lh3.googleusercontent.com/d/" &amp; 시즌이미지[[#This Row],[파일ID]]</f>
        <v>https://lh3.googleusercontent.com/d/1W7xjZL_xS7g52-kk_T_CL03Xd6Vq9wXg</v>
      </c>
      <c r="E62" s="7" t="str">
        <f>SUBSTITUTE(시즌이미지[[#This Row],[파일명]], ".png","")</f>
        <v>LH</v>
      </c>
      <c r="F62" s="8" t="e" vm="61">
        <f>_xlfn.IMAGE(시즌이미지[[#This Row],[함수용주소를 DIRECT주소로 변경]],시즌이미지[[#This Row],[대체텍스트]],3,33.642,41.958)</f>
        <v>#VALUE!</v>
      </c>
    </row>
    <row r="63" spans="1:6" ht="32.799999999999997" customHeight="1" x14ac:dyDescent="0.3">
      <c r="A63" s="6" t="s">
        <v>155</v>
      </c>
      <c r="B63" s="9" t="s">
        <v>156</v>
      </c>
      <c r="C63" s="8" t="s">
        <v>452</v>
      </c>
      <c r="D63" s="9" t="str">
        <f>"https://lh3.googleusercontent.com/d/" &amp; 시즌이미지[[#This Row],[파일ID]]</f>
        <v>https://lh3.googleusercontent.com/d/1XScIHpJiX9Pw2p99Wms2Xwf351s2QJ-C</v>
      </c>
      <c r="E63" s="7" t="str">
        <f>SUBSTITUTE(시즌이미지[[#This Row],[파일명]], ".png","")</f>
        <v>LN</v>
      </c>
      <c r="F63" s="8" t="e" vm="62">
        <f>_xlfn.IMAGE(시즌이미지[[#This Row],[함수용주소를 DIRECT주소로 변경]],시즌이미지[[#This Row],[대체텍스트]],3,33.642,41.958)</f>
        <v>#VALUE!</v>
      </c>
    </row>
    <row r="64" spans="1:6" ht="32.799999999999997" customHeight="1" x14ac:dyDescent="0.3">
      <c r="A64" s="6" t="s">
        <v>187</v>
      </c>
      <c r="B64" s="9" t="s">
        <v>188</v>
      </c>
      <c r="C64" s="8" t="s">
        <v>452</v>
      </c>
      <c r="D64" s="9" t="str">
        <f>"https://lh3.googleusercontent.com/d/" &amp; 시즌이미지[[#This Row],[파일ID]]</f>
        <v>https://lh3.googleusercontent.com/d/1E-gfET25GVvMhg8iIJ9naoVHhLVLhKn-</v>
      </c>
      <c r="E64" s="7" t="str">
        <f>SUBSTITUTE(시즌이미지[[#This Row],[파일명]], ".png","")</f>
        <v>LOL</v>
      </c>
      <c r="F64" s="8" t="e" vm="63">
        <f>_xlfn.IMAGE(시즌이미지[[#This Row],[함수용주소를 DIRECT주소로 변경]],시즌이미지[[#This Row],[대체텍스트]],3,33.642,41.958)</f>
        <v>#VALUE!</v>
      </c>
    </row>
    <row r="65" spans="1:6" ht="32.799999999999997" customHeight="1" x14ac:dyDescent="0.3">
      <c r="A65" s="6" t="s">
        <v>192</v>
      </c>
      <c r="B65" s="9" t="s">
        <v>193</v>
      </c>
      <c r="C65" s="8" t="s">
        <v>452</v>
      </c>
      <c r="D65" s="9" t="str">
        <f>"https://lh3.googleusercontent.com/d/" &amp; 시즌이미지[[#This Row],[파일ID]]</f>
        <v>https://lh3.googleusercontent.com/d/15qkpHnfSkx78QcGICZqCLyAD_82igFx6</v>
      </c>
      <c r="E65" s="7" t="str">
        <f>SUBSTITUTE(시즌이미지[[#This Row],[파일명]], ".png","")</f>
        <v>MC</v>
      </c>
      <c r="F65" s="8" t="e" vm="64">
        <f>_xlfn.IMAGE(시즌이미지[[#This Row],[함수용주소를 DIRECT주소로 변경]],시즌이미지[[#This Row],[대체텍스트]],3,33.642,41.958)</f>
        <v>#VALUE!</v>
      </c>
    </row>
    <row r="66" spans="1:6" ht="32.799999999999997" customHeight="1" x14ac:dyDescent="0.3">
      <c r="A66" s="6" t="s">
        <v>62</v>
      </c>
      <c r="B66" s="9" t="s">
        <v>63</v>
      </c>
      <c r="C66" s="8" t="s">
        <v>452</v>
      </c>
      <c r="D66" s="9" t="str">
        <f>"https://lh3.googleusercontent.com/d/" &amp; 시즌이미지[[#This Row],[파일ID]]</f>
        <v>https://lh3.googleusercontent.com/d/1Q9xIsylGQSYsOMs_om4uUvmfdS1TxCXk</v>
      </c>
      <c r="E66" s="7" t="str">
        <f>SUBSTITUTE(시즌이미지[[#This Row],[파일명]], ".png","")</f>
        <v>MDL</v>
      </c>
      <c r="F66" s="8" t="e" vm="65">
        <f>_xlfn.IMAGE(시즌이미지[[#This Row],[함수용주소를 DIRECT주소로 변경]],시즌이미지[[#This Row],[대체텍스트]],3,33.642,41.958)</f>
        <v>#VALUE!</v>
      </c>
    </row>
    <row r="67" spans="1:6" ht="32.799999999999997" customHeight="1" x14ac:dyDescent="0.3">
      <c r="A67" s="6" t="s">
        <v>198</v>
      </c>
      <c r="B67" s="9" t="s">
        <v>199</v>
      </c>
      <c r="C67" s="8" t="s">
        <v>452</v>
      </c>
      <c r="D67" s="9" t="str">
        <f>"https://lh3.googleusercontent.com/d/" &amp; 시즌이미지[[#This Row],[파일ID]]</f>
        <v>https://lh3.googleusercontent.com/d/1W3ZZ2VeiYBilrojMe5OaZ2vH-bZQj4xi</v>
      </c>
      <c r="E67" s="7" t="str">
        <f>SUBSTITUTE(시즌이미지[[#This Row],[파일명]], ".png","")</f>
        <v>MOG</v>
      </c>
      <c r="F67" s="8" t="e" vm="66">
        <f>_xlfn.IMAGE(시즌이미지[[#This Row],[함수용주소를 DIRECT주소로 변경]],시즌이미지[[#This Row],[대체텍스트]],3,33.642,41.958)</f>
        <v>#VALUE!</v>
      </c>
    </row>
    <row r="68" spans="1:6" ht="32.799999999999997" customHeight="1" x14ac:dyDescent="0.3">
      <c r="A68" s="6" t="s">
        <v>131</v>
      </c>
      <c r="B68" s="9" t="s">
        <v>132</v>
      </c>
      <c r="C68" s="8" t="s">
        <v>452</v>
      </c>
      <c r="D68" s="9" t="str">
        <f>"https://lh3.googleusercontent.com/d/" &amp; 시즌이미지[[#This Row],[파일ID]]</f>
        <v>https://lh3.googleusercontent.com/d/17HPBRgCgLBlz4xdaC6fE0Opr-x8YfDJW</v>
      </c>
      <c r="E68" s="7" t="str">
        <f>SUBSTITUTE(시즌이미지[[#This Row],[파일명]], ".png","")</f>
        <v>NHD</v>
      </c>
      <c r="F68" s="8" t="e" vm="67">
        <f>_xlfn.IMAGE(시즌이미지[[#This Row],[함수용주소를 DIRECT주소로 변경]],시즌이미지[[#This Row],[대체텍스트]],3,33.642,41.958)</f>
        <v>#VALUE!</v>
      </c>
    </row>
    <row r="69" spans="1:6" ht="32.799999999999997" customHeight="1" x14ac:dyDescent="0.3">
      <c r="A69" s="6" t="s">
        <v>74</v>
      </c>
      <c r="B69" s="9" t="s">
        <v>75</v>
      </c>
      <c r="C69" s="8" t="s">
        <v>452</v>
      </c>
      <c r="D69" s="9" t="str">
        <f>"https://lh3.googleusercontent.com/d/" &amp; 시즌이미지[[#This Row],[파일ID]]</f>
        <v>https://lh3.googleusercontent.com/d/1zgp9SKHovBoGc8XpyO2emeQz8X90AHiG</v>
      </c>
      <c r="E69" s="7" t="str">
        <f>SUBSTITUTE(시즌이미지[[#This Row],[파일명]], ".png","")</f>
        <v>NO7</v>
      </c>
      <c r="F69" s="8" t="e" vm="68">
        <f>_xlfn.IMAGE(시즌이미지[[#This Row],[함수용주소를 DIRECT주소로 변경]],시즌이미지[[#This Row],[대체텍스트]],3,33.642,41.958)</f>
        <v>#VALUE!</v>
      </c>
    </row>
    <row r="70" spans="1:6" ht="32.799999999999997" customHeight="1" x14ac:dyDescent="0.3">
      <c r="A70" s="6" t="s">
        <v>57</v>
      </c>
      <c r="B70" s="9" t="s">
        <v>58</v>
      </c>
      <c r="C70" s="8" t="s">
        <v>452</v>
      </c>
      <c r="D70" s="9" t="str">
        <f>"https://lh3.googleusercontent.com/d/" &amp; 시즌이미지[[#This Row],[파일ID]]</f>
        <v>https://lh3.googleusercontent.com/d/1QG0KvAYYQN3zhRRo1zRfqyywDGbwrPF6</v>
      </c>
      <c r="E70" s="7" t="str">
        <f>SUBSTITUTE(시즌이미지[[#This Row],[파일명]], ".png","")</f>
        <v>OTW</v>
      </c>
      <c r="F70" s="8" t="e" vm="69">
        <f>_xlfn.IMAGE(시즌이미지[[#This Row],[함수용주소를 DIRECT주소로 변경]],시즌이미지[[#This Row],[대체텍스트]],3,33.642,41.958)</f>
        <v>#VALUE!</v>
      </c>
    </row>
    <row r="71" spans="1:6" ht="32.799999999999997" customHeight="1" x14ac:dyDescent="0.3">
      <c r="A71" s="6" t="s">
        <v>184</v>
      </c>
      <c r="B71" s="9" t="s">
        <v>185</v>
      </c>
      <c r="C71" s="8" t="s">
        <v>452</v>
      </c>
      <c r="D71" s="9" t="str">
        <f>"https://lh3.googleusercontent.com/d/" &amp; 시즌이미지[[#This Row],[파일ID]]</f>
        <v>https://lh3.googleusercontent.com/d/1a-YY3_xeYzTOrDqT-ufQcbHSeuCA9Euh</v>
      </c>
      <c r="E71" s="7" t="str">
        <f>SUBSTITUTE(시즌이미지[[#This Row],[파일명]], ".png","")</f>
        <v>RMCF</v>
      </c>
      <c r="F71" s="8" t="e" vm="70">
        <f>_xlfn.IMAGE(시즌이미지[[#This Row],[함수용주소를 DIRECT주소로 변경]],시즌이미지[[#This Row],[대체텍스트]],3,33.642,41.958)</f>
        <v>#VALUE!</v>
      </c>
    </row>
    <row r="72" spans="1:6" ht="32.799999999999997" customHeight="1" x14ac:dyDescent="0.3">
      <c r="A72" s="6" t="s">
        <v>242</v>
      </c>
      <c r="B72" s="9" t="s">
        <v>243</v>
      </c>
      <c r="C72" s="8" t="s">
        <v>452</v>
      </c>
      <c r="D72" s="9" t="str">
        <f>"https://lh3.googleusercontent.com/d/" &amp; 시즌이미지[[#This Row],[파일ID]]</f>
        <v>https://lh3.googleusercontent.com/d/1K8cX7sWLHqQbu_ua1eR8uL_VGoz6ieGy</v>
      </c>
      <c r="E72" s="7" t="str">
        <f>SUBSTITUTE(시즌이미지[[#This Row],[파일명]], ".png","")</f>
        <v>RTN</v>
      </c>
      <c r="F72" s="8" t="e" vm="71">
        <f>_xlfn.IMAGE(시즌이미지[[#This Row],[함수용주소를 DIRECT주소로 변경]],시즌이미지[[#This Row],[대체텍스트]],3,33.642,41.958)</f>
        <v>#VALUE!</v>
      </c>
    </row>
    <row r="73" spans="1:6" ht="32.799999999999997" customHeight="1" x14ac:dyDescent="0.3">
      <c r="A73" s="6" t="s">
        <v>178</v>
      </c>
      <c r="B73" s="9" t="s">
        <v>179</v>
      </c>
      <c r="C73" s="8" t="s">
        <v>452</v>
      </c>
      <c r="D73" s="9" t="str">
        <f>"https://lh3.googleusercontent.com/d/" &amp; 시즌이미지[[#This Row],[파일ID]]</f>
        <v>https://lh3.googleusercontent.com/d/19QjD55fosOFRBrtX9PgRtd3wCjtQ1mLX</v>
      </c>
      <c r="E73" s="7" t="str">
        <f>SUBSTITUTE(시즌이미지[[#This Row],[파일명]], ".png","")</f>
        <v>TB</v>
      </c>
      <c r="F73" s="8" t="e" vm="72">
        <f>_xlfn.IMAGE(시즌이미지[[#This Row],[함수용주소를 DIRECT주소로 변경]],시즌이미지[[#This Row],[대체텍스트]],3,33.642,41.958)</f>
        <v>#VALUE!</v>
      </c>
    </row>
    <row r="74" spans="1:6" ht="32.799999999999997" customHeight="1" x14ac:dyDescent="0.3">
      <c r="A74" s="6" t="s">
        <v>161</v>
      </c>
      <c r="B74" s="9" t="s">
        <v>162</v>
      </c>
      <c r="C74" s="8" t="s">
        <v>452</v>
      </c>
      <c r="D74" s="9" t="str">
        <f>"https://lh3.googleusercontent.com/d/" &amp; 시즌이미지[[#This Row],[파일ID]]</f>
        <v>https://lh3.googleusercontent.com/d/1iUzHdBNRvQjBUseyJFyaMTLr7kTkOe6Q</v>
      </c>
      <c r="E74" s="7" t="str">
        <f>SUBSTITUTE(시즌이미지[[#This Row],[파일명]], ".png","")</f>
        <v>TC</v>
      </c>
      <c r="F74" s="8" t="e" vm="73">
        <f>_xlfn.IMAGE(시즌이미지[[#This Row],[함수용주소를 DIRECT주소로 변경]],시즌이미지[[#This Row],[대체텍스트]],3,33.642,41.958)</f>
        <v>#VALUE!</v>
      </c>
    </row>
    <row r="75" spans="1:6" ht="32.799999999999997" customHeight="1" x14ac:dyDescent="0.3">
      <c r="A75" s="6" t="s">
        <v>272</v>
      </c>
      <c r="B75" s="9" t="s">
        <v>273</v>
      </c>
      <c r="C75" s="8" t="s">
        <v>452</v>
      </c>
      <c r="D75" s="9" t="str">
        <f>"https://lh3.googleusercontent.com/d/" &amp; 시즌이미지[[#This Row],[파일ID]]</f>
        <v>https://lh3.googleusercontent.com/d/1VY0ud6HOKGmOAFujW7kfZqaSbjc0xAXC</v>
      </c>
      <c r="E75" s="7" t="str">
        <f>SUBSTITUTE(시즌이미지[[#This Row],[파일명]], ".png","")</f>
        <v>TM</v>
      </c>
      <c r="F75" s="8" t="e" vm="74">
        <f>_xlfn.IMAGE(시즌이미지[[#This Row],[함수용주소를 DIRECT주소로 변경]],시즌이미지[[#This Row],[대체텍스트]],3,33.642,41.958)</f>
        <v>#VALUE!</v>
      </c>
    </row>
    <row r="76" spans="1:6" ht="32.799999999999997" customHeight="1" x14ac:dyDescent="0.3">
      <c r="A76" s="6" t="s">
        <v>121</v>
      </c>
      <c r="B76" s="9" t="s">
        <v>122</v>
      </c>
      <c r="C76" s="8" t="s">
        <v>452</v>
      </c>
      <c r="D76" s="9" t="str">
        <f>"https://lh3.googleusercontent.com/d/" &amp; 시즌이미지[[#This Row],[파일ID]]</f>
        <v>https://lh3.googleusercontent.com/d/1MxOx33wt_pLd-mOJt2JpwOo14OleF32h</v>
      </c>
      <c r="E76" s="7" t="str">
        <f>SUBSTITUTE(시즌이미지[[#This Row],[파일명]], ".png","")</f>
        <v>TT</v>
      </c>
      <c r="F76" s="8" t="e" vm="75">
        <f>_xlfn.IMAGE(시즌이미지[[#This Row],[함수용주소를 DIRECT주소로 변경]],시즌이미지[[#This Row],[대체텍스트]],3,33.642,41.958)</f>
        <v>#VALUE!</v>
      </c>
    </row>
    <row r="77" spans="1:6" ht="32.799999999999997" customHeight="1" x14ac:dyDescent="0.3">
      <c r="A77" s="6" t="s">
        <v>54</v>
      </c>
      <c r="B77" s="9" t="s">
        <v>55</v>
      </c>
      <c r="C77" s="8" t="s">
        <v>452</v>
      </c>
      <c r="D77" s="9" t="str">
        <f>"https://lh3.googleusercontent.com/d/" &amp; 시즌이미지[[#This Row],[파일ID]]</f>
        <v>https://lh3.googleusercontent.com/d/1p9F4_SeDN1JT2s3Tz2Hmgd7XQ1O9xHwC</v>
      </c>
      <c r="E77" s="7" t="str">
        <f>SUBSTITUTE(시즌이미지[[#This Row],[파일명]], ".png","")</f>
        <v>UP</v>
      </c>
      <c r="F77" s="8" t="e" vm="76">
        <f>_xlfn.IMAGE(시즌이미지[[#This Row],[함수용주소를 DIRECT주소로 변경]],시즌이미지[[#This Row],[대체텍스트]],3,33.642,41.958)</f>
        <v>#VALUE!</v>
      </c>
    </row>
    <row r="78" spans="1:6" ht="32.799999999999997" customHeight="1" x14ac:dyDescent="0.3">
      <c r="A78" s="6" t="s">
        <v>51</v>
      </c>
      <c r="B78" s="9" t="s">
        <v>52</v>
      </c>
      <c r="C78" s="8" t="s">
        <v>452</v>
      </c>
      <c r="D78" s="9" t="str">
        <f>"https://lh3.googleusercontent.com/d/" &amp; 시즌이미지[[#This Row],[파일ID]]</f>
        <v>https://lh3.googleusercontent.com/d/1eSx1cOb5xCi6g5da8YCiUtQoy1rrSNGk</v>
      </c>
      <c r="E78" s="7" t="str">
        <f>SUBSTITUTE(시즌이미지[[#This Row],[파일명]], ".png","")</f>
        <v>UT</v>
      </c>
      <c r="F78" s="8" t="e" vm="77">
        <f>_xlfn.IMAGE(시즌이미지[[#This Row],[함수용주소를 DIRECT주소로 변경]],시즌이미지[[#This Row],[대체텍스트]],3,33.642,41.958)</f>
        <v>#VALUE!</v>
      </c>
    </row>
    <row r="79" spans="1:6" ht="32.799999999999997" customHeight="1" x14ac:dyDescent="0.3">
      <c r="A79" s="6" t="s">
        <v>93</v>
      </c>
      <c r="B79" s="9" t="s">
        <v>94</v>
      </c>
      <c r="C79" s="8" t="s">
        <v>452</v>
      </c>
      <c r="D79" s="9" t="str">
        <f>"https://lh3.googleusercontent.com/d/" &amp; 시즌이미지[[#This Row],[파일ID]]</f>
        <v>https://lh3.googleusercontent.com/d/1WlllAu8aXBkGnMzimsAvwgWlm_r_XxU6</v>
      </c>
      <c r="E79" s="7" t="str">
        <f>SUBSTITUTE(시즌이미지[[#This Row],[파일명]], ".png","")</f>
        <v>VTR</v>
      </c>
      <c r="F79" s="8" t="e" vm="78">
        <f>_xlfn.IMAGE(시즌이미지[[#This Row],[함수용주소를 DIRECT주소로 변경]],시즌이미지[[#This Row],[대체텍스트]],3,33.642,41.958)</f>
        <v>#VALUE!</v>
      </c>
    </row>
    <row r="80" spans="1:6" ht="32.799999999999997" customHeight="1" x14ac:dyDescent="0.3">
      <c r="A80" s="6" t="s">
        <v>143</v>
      </c>
      <c r="B80" s="9" t="s">
        <v>144</v>
      </c>
      <c r="C80" s="8" t="s">
        <v>452</v>
      </c>
      <c r="D80" s="9" t="str">
        <f>"https://lh3.googleusercontent.com/d/" &amp; 시즌이미지[[#This Row],[파일ID]]</f>
        <v>https://lh3.googleusercontent.com/d/1VOskYw6_srkzJF7nXupJRvdC1Z3NZNPA</v>
      </c>
      <c r="E80" s="7" t="str">
        <f>SUBSTITUTE(시즌이미지[[#This Row],[파일명]], ".png","")</f>
        <v>WB</v>
      </c>
      <c r="F80" s="8" t="e" vm="79">
        <f>_xlfn.IMAGE(시즌이미지[[#This Row],[함수용주소를 DIRECT주소로 변경]],시즌이미지[[#This Row],[대체텍스트]],3,33.642,41.958)</f>
        <v>#VALUE!</v>
      </c>
    </row>
    <row r="81" spans="1:6" ht="32.799999999999997" customHeight="1" x14ac:dyDescent="0.3">
      <c r="A81" s="6" t="s">
        <v>233</v>
      </c>
      <c r="B81" s="9" t="s">
        <v>234</v>
      </c>
      <c r="C81" s="8" t="s">
        <v>452</v>
      </c>
      <c r="D81" s="9" t="str">
        <f>"https://lh3.googleusercontent.com/d/" &amp; 시즌이미지[[#This Row],[파일ID]]</f>
        <v>https://lh3.googleusercontent.com/d/10yhkzWBiZWs6GvNHjpq-KEtc1aT9X-x4</v>
      </c>
      <c r="E81" s="7" t="str">
        <f>SUBSTITUTE(시즌이미지[[#This Row],[파일명]], ".png","")</f>
        <v>WC22</v>
      </c>
      <c r="F81" s="8" t="e" vm="80">
        <f>_xlfn.IMAGE(시즌이미지[[#This Row],[함수용주소를 DIRECT주소로 변경]],시즌이미지[[#This Row],[대체텍스트]],3,33.642,41.958)</f>
        <v>#VALUE!</v>
      </c>
    </row>
    <row r="82" spans="1:6" ht="32.799999999999997" customHeight="1" x14ac:dyDescent="0.3">
      <c r="A82" s="6" t="s">
        <v>263</v>
      </c>
      <c r="B82" s="9" t="s">
        <v>264</v>
      </c>
      <c r="C82" s="8" t="s">
        <v>452</v>
      </c>
      <c r="D82" s="9" t="str">
        <f>"https://lh3.googleusercontent.com/d/" &amp; 시즌이미지[[#This Row],[파일ID]]</f>
        <v>https://lh3.googleusercontent.com/d/1I6hRoM4xeTu-AEn2uQjH1wuxWv7G4NRG</v>
      </c>
      <c r="E82" s="7" t="str">
        <f>SUBSTITUTE(시즌이미지[[#This Row],[파일명]], ".png","")</f>
        <v>WS</v>
      </c>
      <c r="F82" s="8" t="e" vm="81">
        <f>_xlfn.IMAGE(시즌이미지[[#This Row],[함수용주소를 DIRECT주소로 변경]],시즌이미지[[#This Row],[대체텍스트]],3,33.642,41.958)</f>
        <v>#VALUE!</v>
      </c>
    </row>
    <row r="83" spans="1:6" ht="32.799999999999997" customHeight="1" x14ac:dyDescent="0.3">
      <c r="A83" s="6" t="s">
        <v>340</v>
      </c>
      <c r="B83" s="9" t="s">
        <v>341</v>
      </c>
      <c r="C83" s="8" t="s">
        <v>452</v>
      </c>
      <c r="D83" s="9" t="str">
        <f>"https://lh3.googleusercontent.com/d/" &amp; 시즌이미지[[#This Row],[파일ID]]</f>
        <v>https://lh3.googleusercontent.com/d/1l4xxQwNtYADLG7Okp0bSbzkklWKE1ZCJ</v>
      </c>
      <c r="E83" s="7" t="str">
        <f>SUBSTITUTE(시즌이미지[[#This Row],[파일명]], ".png","")</f>
        <v>20LIVE</v>
      </c>
      <c r="F83" s="8" t="e" vm="82">
        <f>_xlfn.IMAGE(시즌이미지[[#This Row],[함수용주소를 DIRECT주소로 변경]],시즌이미지[[#This Row],[대체텍스트]],3,33.642,41.958)</f>
        <v>#VALUE!</v>
      </c>
    </row>
    <row r="84" spans="1:6" ht="32.799999999999997" customHeight="1" x14ac:dyDescent="0.3">
      <c r="A84" s="6" t="s">
        <v>342</v>
      </c>
      <c r="B84" s="9" t="s">
        <v>343</v>
      </c>
      <c r="C84" s="8" t="s">
        <v>452</v>
      </c>
      <c r="D84" s="9" t="str">
        <f>"https://lh3.googleusercontent.com/d/" &amp; 시즌이미지[[#This Row],[파일ID]]</f>
        <v>https://lh3.googleusercontent.com/d/15e_-1nseUA6wKiDCDrzrslGJoLNm4Pb_</v>
      </c>
      <c r="E84" s="7" t="str">
        <f>SUBSTITUTE(시즌이미지[[#This Row],[파일명]], ".png","")</f>
        <v>21LIVE</v>
      </c>
      <c r="F84" s="8" t="e" vm="83">
        <f>_xlfn.IMAGE(시즌이미지[[#This Row],[함수용주소를 DIRECT주소로 변경]],시즌이미지[[#This Row],[대체텍스트]],3,33.642,41.958)</f>
        <v>#VALUE!</v>
      </c>
    </row>
    <row r="85" spans="1:6" ht="32.799999999999997" customHeight="1" x14ac:dyDescent="0.3">
      <c r="A85" s="6" t="s">
        <v>344</v>
      </c>
      <c r="B85" s="9" t="s">
        <v>345</v>
      </c>
      <c r="C85" s="8" t="s">
        <v>452</v>
      </c>
      <c r="D85" s="9" t="str">
        <f>"https://lh3.googleusercontent.com/d/" &amp; 시즌이미지[[#This Row],[파일ID]]</f>
        <v>https://lh3.googleusercontent.com/d/1_xtyHkS6Crhf9rLHwSE7K8RL2QwblCts</v>
      </c>
      <c r="E85" s="7" t="str">
        <f>SUBSTITUTE(시즌이미지[[#This Row],[파일명]], ".png","")</f>
        <v>LKI</v>
      </c>
      <c r="F85" s="8" t="e" vm="84">
        <f>_xlfn.IMAGE(시즌이미지[[#This Row],[함수용주소를 DIRECT주소로 변경]],시즌이미지[[#This Row],[대체텍스트]],3,33.642,41.958)</f>
        <v>#VALUE!</v>
      </c>
    </row>
    <row r="86" spans="1:6" ht="32.799999999999997" customHeight="1" x14ac:dyDescent="0.3">
      <c r="A86" s="6" t="s">
        <v>346</v>
      </c>
      <c r="B86" s="9" t="s">
        <v>347</v>
      </c>
      <c r="C86" s="8" t="s">
        <v>452</v>
      </c>
      <c r="D86" s="9" t="str">
        <f>"https://lh3.googleusercontent.com/d/" &amp; 시즌이미지[[#This Row],[파일ID]]</f>
        <v>https://lh3.googleusercontent.com/d/1UXSMYQJXafNNmbQPnGPkxR1iuWkDwgy3</v>
      </c>
      <c r="E86" s="7" t="str">
        <f>SUBSTITUTE(시즌이미지[[#This Row],[파일명]], ".png","")</f>
        <v>22LIVE</v>
      </c>
      <c r="F86" s="8" t="e" vm="85">
        <f>_xlfn.IMAGE(시즌이미지[[#This Row],[함수용주소를 DIRECT주소로 변경]],시즌이미지[[#This Row],[대체텍스트]],3,33.642,41.958)</f>
        <v>#VALUE!</v>
      </c>
    </row>
    <row r="87" spans="1:6" ht="32.799999999999997" customHeight="1" x14ac:dyDescent="0.3">
      <c r="A87" s="6" t="s">
        <v>88</v>
      </c>
      <c r="B87" s="9" t="s">
        <v>89</v>
      </c>
      <c r="C87" s="8" t="s">
        <v>452</v>
      </c>
      <c r="D87" s="9" t="str">
        <f>"https://lh3.googleusercontent.com/d/" &amp; 시즌이미지[[#This Row],[파일ID]]</f>
        <v>https://lh3.googleusercontent.com/d/1jgdPO4x_Q2pBBg6mHGo8ITg-KUQcs5Sv</v>
      </c>
      <c r="E87" s="7" t="str">
        <f>SUBSTITUTE(시즌이미지[[#This Row],[파일명]], ".png","")</f>
        <v>23LIVE</v>
      </c>
      <c r="F87" s="8" t="e" vm="86">
        <f>_xlfn.IMAGE(시즌이미지[[#This Row],[함수용주소를 DIRECT주소로 변경]],시즌이미지[[#This Row],[대체텍스트]],3,33.642,41.958)</f>
        <v>#VALUE!</v>
      </c>
    </row>
    <row r="88" spans="1:6" ht="32.799999999999997" customHeight="1" x14ac:dyDescent="0.3">
      <c r="A88" s="6" t="s">
        <v>82</v>
      </c>
      <c r="B88" s="9" t="s">
        <v>83</v>
      </c>
      <c r="C88" s="8" t="s">
        <v>452</v>
      </c>
      <c r="D88" s="9" t="str">
        <f>"https://lh3.googleusercontent.com/d/" &amp; 시즌이미지[[#This Row],[파일ID]]</f>
        <v>https://lh3.googleusercontent.com/d/1ILivnbOVDjJcsuKhCouVq11GHWd3pmeM</v>
      </c>
      <c r="E88" s="7" t="str">
        <f>SUBSTITUTE(시즌이미지[[#This Row],[파일명]], ".png","")</f>
        <v>24LIVE</v>
      </c>
      <c r="F88" s="8" t="e" vm="87">
        <f>_xlfn.IMAGE(시즌이미지[[#This Row],[함수용주소를 DIRECT주소로 변경]],시즌이미지[[#This Row],[대체텍스트]],3,33.642,41.958)</f>
        <v>#VALUE!</v>
      </c>
    </row>
    <row r="89" spans="1:6" ht="32.799999999999997" customHeight="1" x14ac:dyDescent="0.3">
      <c r="A89" s="6" t="s">
        <v>348</v>
      </c>
      <c r="B89" s="9" t="s">
        <v>349</v>
      </c>
      <c r="C89" s="8" t="s">
        <v>452</v>
      </c>
      <c r="D89" s="9" t="str">
        <f>"https://lh3.googleusercontent.com/d/" &amp; 시즌이미지[[#This Row],[파일ID]]</f>
        <v>https://lh3.googleusercontent.com/d/1m4QLUE-xk8_70Akj8l0vbW9BkUJnU0Tx</v>
      </c>
      <c r="E89" s="7" t="str">
        <f>SUBSTITUTE(시즌이미지[[#This Row],[파일명]], ".png","")</f>
        <v>18PL</v>
      </c>
      <c r="F89" s="8" t="e" vm="88">
        <f>_xlfn.IMAGE(시즌이미지[[#This Row],[함수용주소를 DIRECT주소로 변경]],시즌이미지[[#This Row],[대체텍스트]],3,33.642,41.958)</f>
        <v>#VALUE!</v>
      </c>
    </row>
    <row r="90" spans="1:6" ht="32.799999999999997" customHeight="1" x14ac:dyDescent="0.3">
      <c r="A90" s="6" t="s">
        <v>215</v>
      </c>
      <c r="B90" s="9" t="s">
        <v>216</v>
      </c>
      <c r="C90" s="8" t="s">
        <v>452</v>
      </c>
      <c r="D90" s="9" t="str">
        <f>"https://lh3.googleusercontent.com/d/" &amp; 시즌이미지[[#This Row],[파일ID]]</f>
        <v>https://lh3.googleusercontent.com/d/1fd567ujdVY-SPBTqCnK9t9UXBow_KP7-</v>
      </c>
      <c r="E90" s="7" t="str">
        <f>SUBSTITUTE(시즌이미지[[#This Row],[파일명]], ".png","")</f>
        <v>25LIVE</v>
      </c>
      <c r="F90" s="8" t="e" vm="89">
        <f>_xlfn.IMAGE(시즌이미지[[#This Row],[함수용주소를 DIRECT주소로 변경]],시즌이미지[[#This Row],[대체텍스트]],3,33.642,41.958)</f>
        <v>#VALUE!</v>
      </c>
    </row>
    <row r="91" spans="1:6" ht="32.799999999999997" customHeight="1" x14ac:dyDescent="0.3">
      <c r="A91" s="6" t="s">
        <v>350</v>
      </c>
      <c r="B91" s="9" t="s">
        <v>351</v>
      </c>
      <c r="C91" s="8" t="s">
        <v>452</v>
      </c>
      <c r="D91" s="9" t="str">
        <f>"https://lh3.googleusercontent.com/d/" &amp; 시즌이미지[[#This Row],[파일ID]]</f>
        <v>https://lh3.googleusercontent.com/d/17DrX9BSKcmpd18RO57J_Uu0lrOLpyg12</v>
      </c>
      <c r="E91" s="7" t="str">
        <f>SUBSTITUTE(시즌이미지[[#This Row],[파일명]], ".png","")</f>
        <v>21KB</v>
      </c>
      <c r="F91" s="8" t="e" vm="90">
        <f>_xlfn.IMAGE(시즌이미지[[#This Row],[함수용주소를 DIRECT주소로 변경]],시즌이미지[[#This Row],[대체텍스트]],3,33.642,41.958)</f>
        <v>#VALUE!</v>
      </c>
    </row>
    <row r="92" spans="1:6" ht="32.799999999999997" customHeight="1" x14ac:dyDescent="0.3">
      <c r="A92" s="6" t="s">
        <v>352</v>
      </c>
      <c r="B92" s="9" t="s">
        <v>353</v>
      </c>
      <c r="C92" s="8" t="s">
        <v>452</v>
      </c>
      <c r="D92" s="9" t="str">
        <f>"https://lh3.googleusercontent.com/d/" &amp; 시즌이미지[[#This Row],[파일ID]]</f>
        <v>https://lh3.googleusercontent.com/d/17aGlHfOBwmrM2FBdB9MVLe3K6-U4m7EG</v>
      </c>
      <c r="E92" s="7" t="str">
        <f>SUBSTITUTE(시즌이미지[[#This Row],[파일명]], ".png","")</f>
        <v>23KB</v>
      </c>
      <c r="F92" s="8" t="e" vm="91">
        <f>_xlfn.IMAGE(시즌이미지[[#This Row],[함수용주소를 DIRECT주소로 변경]],시즌이미지[[#This Row],[대체텍스트]],3,33.642,41.958)</f>
        <v>#VALUE!</v>
      </c>
    </row>
    <row r="93" spans="1:6" ht="32.799999999999997" customHeight="1" x14ac:dyDescent="0.3">
      <c r="A93" s="6" t="s">
        <v>354</v>
      </c>
      <c r="B93" s="9" t="s">
        <v>355</v>
      </c>
      <c r="C93" s="8" t="s">
        <v>452</v>
      </c>
      <c r="D93" s="9" t="str">
        <f>"https://lh3.googleusercontent.com/d/" &amp; 시즌이미지[[#This Row],[파일ID]]</f>
        <v>https://lh3.googleusercontent.com/d/1AjzZjyKB-QUeOp-cUap7MPOvotywlzUS</v>
      </c>
      <c r="E93" s="7" t="str">
        <f>SUBSTITUTE(시즌이미지[[#This Row],[파일명]], ".png","")</f>
        <v>20KL</v>
      </c>
      <c r="F93" s="8" t="e" vm="92">
        <f>_xlfn.IMAGE(시즌이미지[[#This Row],[함수용주소를 DIRECT주소로 변경]],시즌이미지[[#This Row],[대체텍스트]],3,33.642,41.958)</f>
        <v>#VALUE!</v>
      </c>
    </row>
    <row r="94" spans="1:6" ht="32.799999999999997" customHeight="1" x14ac:dyDescent="0.3">
      <c r="A94" s="6" t="s">
        <v>356</v>
      </c>
      <c r="B94" s="9" t="s">
        <v>357</v>
      </c>
      <c r="C94" s="8" t="s">
        <v>452</v>
      </c>
      <c r="D94" s="9" t="str">
        <f>"https://lh3.googleusercontent.com/d/" &amp; 시즌이미지[[#This Row],[파일ID]]</f>
        <v>https://lh3.googleusercontent.com/d/1GIerqMqSPHuDaM6h8q7C51g02V-X0Efe</v>
      </c>
      <c r="E94" s="7" t="str">
        <f>SUBSTITUTE(시즌이미지[[#This Row],[파일명]], ".png","")</f>
        <v>20KB</v>
      </c>
      <c r="F94" s="8" t="e" vm="93">
        <f>_xlfn.IMAGE(시즌이미지[[#This Row],[함수용주소를 DIRECT주소로 변경]],시즌이미지[[#This Row],[대체텍스트]],3,33.642,41.958)</f>
        <v>#VALUE!</v>
      </c>
    </row>
    <row r="95" spans="1:6" ht="32.799999999999997" customHeight="1" x14ac:dyDescent="0.3">
      <c r="A95" s="6" t="s">
        <v>358</v>
      </c>
      <c r="B95" s="9" t="s">
        <v>359</v>
      </c>
      <c r="C95" s="8" t="s">
        <v>452</v>
      </c>
      <c r="D95" s="9" t="str">
        <f>"https://lh3.googleusercontent.com/d/" &amp; 시즌이미지[[#This Row],[파일ID]]</f>
        <v>https://lh3.googleusercontent.com/d/1OaoMyH6EwXhJCOX_KE5z5MyJCQcDlcq-</v>
      </c>
      <c r="E95" s="7" t="str">
        <f>SUBSTITUTE(시즌이미지[[#This Row],[파일명]], ".png","")</f>
        <v>22KB</v>
      </c>
      <c r="F95" s="8" t="e" vm="94">
        <f>_xlfn.IMAGE(시즌이미지[[#This Row],[함수용주소를 DIRECT주소로 변경]],시즌이미지[[#This Row],[대체텍스트]],3,33.642,41.958)</f>
        <v>#VALUE!</v>
      </c>
    </row>
    <row r="96" spans="1:6" ht="32.799999999999997" customHeight="1" x14ac:dyDescent="0.3">
      <c r="A96" s="6" t="s">
        <v>360</v>
      </c>
      <c r="B96" s="9" t="s">
        <v>361</v>
      </c>
      <c r="C96" s="8" t="s">
        <v>452</v>
      </c>
      <c r="D96" s="9" t="str">
        <f>"https://lh3.googleusercontent.com/d/" &amp; 시즌이미지[[#This Row],[파일ID]]</f>
        <v>https://lh3.googleusercontent.com/d/17GH1E2ffRq67jNbhhVnYebYObTA1OjJ1</v>
      </c>
      <c r="E96" s="7" t="str">
        <f>SUBSTITUTE(시즌이미지[[#This Row],[파일명]], ".png","")</f>
        <v>18KFA</v>
      </c>
      <c r="F96" s="8" t="e" vm="95">
        <f>_xlfn.IMAGE(시즌이미지[[#This Row],[함수용주소를 DIRECT주소로 변경]],시즌이미지[[#This Row],[대체텍스트]],3,33.642,41.958)</f>
        <v>#VALUE!</v>
      </c>
    </row>
    <row r="97" spans="1:6" ht="32.799999999999997" customHeight="1" x14ac:dyDescent="0.3">
      <c r="A97" s="6" t="s">
        <v>362</v>
      </c>
      <c r="B97" s="9" t="s">
        <v>363</v>
      </c>
      <c r="C97" s="8" t="s">
        <v>452</v>
      </c>
      <c r="D97" s="9" t="str">
        <f>"https://lh3.googleusercontent.com/d/" &amp; 시즌이미지[[#This Row],[파일ID]]</f>
        <v>https://lh3.googleusercontent.com/d/1Gx5esleRSwHwROneWPqn76ggcbOV0UrL</v>
      </c>
      <c r="E97" s="7" t="str">
        <f>SUBSTITUTE(시즌이미지[[#This Row],[파일명]], ".png","")</f>
        <v>21KL</v>
      </c>
      <c r="F97" s="8" t="e" vm="96">
        <f>_xlfn.IMAGE(시즌이미지[[#This Row],[함수용주소를 DIRECT주소로 변경]],시즌이미지[[#This Row],[대체텍스트]],3,33.642,41.958)</f>
        <v>#VALUE!</v>
      </c>
    </row>
    <row r="98" spans="1:6" ht="32.799999999999997" customHeight="1" x14ac:dyDescent="0.3">
      <c r="A98" s="6" t="s">
        <v>364</v>
      </c>
      <c r="B98" s="9" t="s">
        <v>365</v>
      </c>
      <c r="C98" s="8" t="s">
        <v>452</v>
      </c>
      <c r="D98" s="9" t="str">
        <f>"https://lh3.googleusercontent.com/d/" &amp; 시즌이미지[[#This Row],[파일ID]]</f>
        <v>https://lh3.googleusercontent.com/d/1Hkq9RdfMBfhwMLb2PottWTylwamx2Udk</v>
      </c>
      <c r="E98" s="7" t="str">
        <f>SUBSTITUTE(시즌이미지[[#This Row],[파일명]], ".png","")</f>
        <v>TKL</v>
      </c>
      <c r="F98" s="8" t="e" vm="97">
        <f>_xlfn.IMAGE(시즌이미지[[#This Row],[함수용주소를 DIRECT주소로 변경]],시즌이미지[[#This Row],[대체텍스트]],3,33.642,41.958)</f>
        <v>#VALUE!</v>
      </c>
    </row>
    <row r="99" spans="1:6" ht="32.799999999999997" customHeight="1" x14ac:dyDescent="0.3">
      <c r="A99" s="6" t="s">
        <v>366</v>
      </c>
      <c r="B99" s="9" t="s">
        <v>367</v>
      </c>
      <c r="C99" s="8" t="s">
        <v>452</v>
      </c>
      <c r="D99" s="9" t="str">
        <f>"https://lh3.googleusercontent.com/d/" &amp; 시즌이미지[[#This Row],[파일ID]]</f>
        <v>https://lh3.googleusercontent.com/d/1Z0luZfIQ85JQs94rELqn8CsNCaBJ5YOu</v>
      </c>
      <c r="E99" s="7" t="str">
        <f>SUBSTITUTE(시즌이미지[[#This Row],[파일명]], ".png","")</f>
        <v>24KL</v>
      </c>
      <c r="F99" s="8" t="e" vm="98">
        <f>_xlfn.IMAGE(시즌이미지[[#This Row],[함수용주소를 DIRECT주소로 변경]],시즌이미지[[#This Row],[대체텍스트]],3,33.642,41.958)</f>
        <v>#VALUE!</v>
      </c>
    </row>
    <row r="100" spans="1:6" ht="32.799999999999997" customHeight="1" x14ac:dyDescent="0.3">
      <c r="A100" s="6" t="s">
        <v>368</v>
      </c>
      <c r="B100" s="9" t="s">
        <v>369</v>
      </c>
      <c r="C100" s="8" t="s">
        <v>452</v>
      </c>
      <c r="D100" s="9" t="str">
        <f>"https://lh3.googleusercontent.com/d/" &amp; 시즌이미지[[#This Row],[파일ID]]</f>
        <v>https://lh3.googleusercontent.com/d/1h-ajwuGqXdjPyAyKyjgCErVArItMt1GH</v>
      </c>
      <c r="E100" s="7" t="str">
        <f>SUBSTITUTE(시즌이미지[[#This Row],[파일명]], ".png","")</f>
        <v>23KFA</v>
      </c>
      <c r="F100" s="8" t="e" vm="99">
        <f>_xlfn.IMAGE(시즌이미지[[#This Row],[함수용주소를 DIRECT주소로 변경]],시즌이미지[[#This Row],[대체텍스트]],3,33.642,41.958)</f>
        <v>#VALUE!</v>
      </c>
    </row>
    <row r="101" spans="1:6" ht="32.799999999999997" customHeight="1" x14ac:dyDescent="0.3">
      <c r="A101" s="6" t="s">
        <v>370</v>
      </c>
      <c r="B101" s="9" t="s">
        <v>371</v>
      </c>
      <c r="C101" s="8" t="s">
        <v>452</v>
      </c>
      <c r="D101" s="9" t="str">
        <f>"https://lh3.googleusercontent.com/d/" &amp; 시즌이미지[[#This Row],[파일ID]]</f>
        <v>https://lh3.googleusercontent.com/d/1ixYEBlDi-41dfktZm54hBknPY4M76ohz</v>
      </c>
      <c r="E101" s="7" t="str">
        <f>SUBSTITUTE(시즌이미지[[#This Row],[파일명]], ".png","")</f>
        <v>21KFA</v>
      </c>
      <c r="F101" s="8" t="e" vm="100">
        <f>_xlfn.IMAGE(시즌이미지[[#This Row],[함수용주소를 DIRECT주소로 변경]],시즌이미지[[#This Row],[대체텍스트]],3,33.642,41.958)</f>
        <v>#VALUE!</v>
      </c>
    </row>
    <row r="102" spans="1:6" ht="32.799999999999997" customHeight="1" x14ac:dyDescent="0.3">
      <c r="A102" s="6" t="s">
        <v>372</v>
      </c>
      <c r="B102" s="9" t="s">
        <v>373</v>
      </c>
      <c r="C102" s="8" t="s">
        <v>452</v>
      </c>
      <c r="D102" s="9" t="str">
        <f>"https://lh3.googleusercontent.com/d/" &amp; 시즌이미지[[#This Row],[파일ID]]</f>
        <v>https://lh3.googleusercontent.com/d/1lsWH_VgOZ79m9V3pgqPAvKB4FQ48MGhW</v>
      </c>
      <c r="E102" s="7" t="str">
        <f>SUBSTITUTE(시즌이미지[[#This Row],[파일명]], ".png","")</f>
        <v>19KFA</v>
      </c>
      <c r="F102" s="8" t="e" vm="101">
        <f>_xlfn.IMAGE(시즌이미지[[#This Row],[함수용주소를 DIRECT주소로 변경]],시즌이미지[[#This Row],[대체텍스트]],3,33.642,41.958)</f>
        <v>#VALUE!</v>
      </c>
    </row>
    <row r="103" spans="1:6" ht="32.799999999999997" customHeight="1" x14ac:dyDescent="0.3">
      <c r="A103" s="6" t="s">
        <v>374</v>
      </c>
      <c r="B103" s="9" t="s">
        <v>375</v>
      </c>
      <c r="C103" s="8" t="s">
        <v>452</v>
      </c>
      <c r="D103" s="9" t="str">
        <f>"https://lh3.googleusercontent.com/d/" &amp; 시즌이미지[[#This Row],[파일ID]]</f>
        <v>https://lh3.googleusercontent.com/d/1mqrAmEzfd3T4o6lK2bFDEgQRp3UsO8-L</v>
      </c>
      <c r="E103" s="7" t="str">
        <f>SUBSTITUTE(시즌이미지[[#This Row],[파일명]], ".png","")</f>
        <v>23KL</v>
      </c>
      <c r="F103" s="8" t="e" vm="102">
        <f>_xlfn.IMAGE(시즌이미지[[#This Row],[함수용주소를 DIRECT주소로 변경]],시즌이미지[[#This Row],[대체텍스트]],3,33.642,41.958)</f>
        <v>#VALUE!</v>
      </c>
    </row>
    <row r="104" spans="1:6" ht="32.799999999999997" customHeight="1" x14ac:dyDescent="0.3">
      <c r="A104" s="6" t="s">
        <v>376</v>
      </c>
      <c r="B104" s="9" t="s">
        <v>377</v>
      </c>
      <c r="C104" s="8" t="s">
        <v>452</v>
      </c>
      <c r="D104" s="9" t="str">
        <f>"https://lh3.googleusercontent.com/d/" &amp; 시즌이미지[[#This Row],[파일ID]]</f>
        <v>https://lh3.googleusercontent.com/d/1pcjx3RVG5BE3Nx8VrlzmmL0RhvyNOxnF</v>
      </c>
      <c r="E104" s="7" t="str">
        <f>SUBSTITUTE(시즌이미지[[#This Row],[파일명]], ".png","")</f>
        <v>22KL</v>
      </c>
      <c r="F104" s="8" t="e" vm="103">
        <f>_xlfn.IMAGE(시즌이미지[[#This Row],[함수용주소를 DIRECT주소로 변경]],시즌이미지[[#This Row],[대체텍스트]],3,33.642,41.958)</f>
        <v>#VALUE!</v>
      </c>
    </row>
    <row r="105" spans="1:6" ht="32.799999999999997" customHeight="1" x14ac:dyDescent="0.3">
      <c r="A105" s="6" t="s">
        <v>378</v>
      </c>
      <c r="B105" s="9" t="s">
        <v>379</v>
      </c>
      <c r="C105" s="8" t="s">
        <v>452</v>
      </c>
      <c r="D105" s="9" t="str">
        <f>"https://lh3.googleusercontent.com/d/" &amp; 시즌이미지[[#This Row],[파일ID]]</f>
        <v>https://lh3.googleusercontent.com/d/1qig7stoYJznEn_gpEw4grxZt_0slxeKm</v>
      </c>
      <c r="E105" s="7" t="str">
        <f>SUBSTITUTE(시즌이미지[[#This Row],[파일명]], ".png","")</f>
        <v>25KL</v>
      </c>
      <c r="F105" s="8" t="e" vm="104">
        <f>_xlfn.IMAGE(시즌이미지[[#This Row],[함수용주소를 DIRECT주소로 변경]],시즌이미지[[#This Row],[대체텍스트]],3,33.642,41.958)</f>
        <v>#VALUE!</v>
      </c>
    </row>
    <row r="106" spans="1:6" ht="32.799999999999997" customHeight="1" x14ac:dyDescent="0.3">
      <c r="A106" s="6" t="s">
        <v>380</v>
      </c>
      <c r="B106" s="9" t="s">
        <v>381</v>
      </c>
      <c r="C106" s="8" t="s">
        <v>452</v>
      </c>
      <c r="D106" s="9" t="str">
        <f>"https://lh3.googleusercontent.com/d/" &amp; 시즌이미지[[#This Row],[파일ID]]</f>
        <v>https://lh3.googleusercontent.com/d/1spnecraqtHIeyk_ORZFF4Wt6yLC2qA_I</v>
      </c>
      <c r="E106" s="7" t="str">
        <f>SUBSTITUTE(시즌이미지[[#This Row],[파일명]], ".png","")</f>
        <v>2012KH</v>
      </c>
      <c r="F106" s="8" t="e" vm="105">
        <f>_xlfn.IMAGE(시즌이미지[[#This Row],[함수용주소를 DIRECT주소로 변경]],시즌이미지[[#This Row],[대체텍스트]],3,33.642,41.958)</f>
        <v>#VALUE!</v>
      </c>
    </row>
    <row r="107" spans="1:6" ht="32.799999999999997" customHeight="1" x14ac:dyDescent="0.3">
      <c r="A107" s="6" t="s">
        <v>382</v>
      </c>
      <c r="B107" s="9" t="s">
        <v>383</v>
      </c>
      <c r="C107" s="8" t="s">
        <v>452</v>
      </c>
      <c r="D107" s="9" t="str">
        <f>"https://lh3.googleusercontent.com/d/" &amp; 시즌이미지[[#This Row],[파일ID]]</f>
        <v>https://lh3.googleusercontent.com/d/1wTKRNnr_7_2dLdwRSOHSpBYgxZ8ytZgh</v>
      </c>
      <c r="E107" s="7" t="str">
        <f>SUBSTITUTE(시즌이미지[[#This Row],[파일명]], ".png","")</f>
        <v>22KFA</v>
      </c>
      <c r="F107" s="8" t="e" vm="106">
        <f>_xlfn.IMAGE(시즌이미지[[#This Row],[함수용주소를 DIRECT주소로 변경]],시즌이미지[[#This Row],[대체텍스트]],3,33.642,41.958)</f>
        <v>#VALUE!</v>
      </c>
    </row>
    <row r="108" spans="1:6" ht="32.799999999999997" customHeight="1" x14ac:dyDescent="0.3">
      <c r="A108" s="6" t="s">
        <v>384</v>
      </c>
      <c r="B108" s="9" t="s">
        <v>385</v>
      </c>
      <c r="C108" s="8" t="s">
        <v>452</v>
      </c>
      <c r="D108" s="9" t="str">
        <f>"https://lh3.googleusercontent.com/d/" &amp; 시즌이미지[[#This Row],[파일ID]]</f>
        <v>https://lh3.googleusercontent.com/d/1xDQZJvXQaRJryqnB5Q4iC49qAD9AI-Q7</v>
      </c>
      <c r="E108" s="7" t="str">
        <f>SUBSTITUTE(시즌이미지[[#This Row],[파일명]], ".png","")</f>
        <v>TKI</v>
      </c>
      <c r="F108" s="8" t="e" vm="107">
        <f>_xlfn.IMAGE(시즌이미지[[#This Row],[함수용주소를 DIRECT주소로 변경]],시즌이미지[[#This Row],[대체텍스트]],3,33.642,41.958)</f>
        <v>#VALUE!</v>
      </c>
    </row>
    <row r="109" spans="1:6" ht="32.799999999999997" customHeight="1" x14ac:dyDescent="0.3">
      <c r="A109" s="6" t="s">
        <v>386</v>
      </c>
      <c r="B109" s="9" t="s">
        <v>387</v>
      </c>
      <c r="C109" s="8" t="s">
        <v>452</v>
      </c>
      <c r="D109" s="9" t="str">
        <f>"https://lh3.googleusercontent.com/d/" &amp; 시즌이미지[[#This Row],[파일ID]]</f>
        <v>https://lh3.googleusercontent.com/d/1lpWnc5DkQetevLIbOhlG8roMV8vOHn2V</v>
      </c>
      <c r="E109" s="7" t="str">
        <f>SUBSTITUTE(시즌이미지[[#This Row],[파일명]], ".png","")</f>
        <v>23TS</v>
      </c>
      <c r="F109" s="8" t="e" vm="108">
        <f>_xlfn.IMAGE(시즌이미지[[#This Row],[함수용주소를 DIRECT주소로 변경]],시즌이미지[[#This Row],[대체텍스트]],3,33.642,41.958)</f>
        <v>#VALUE!</v>
      </c>
    </row>
    <row r="110" spans="1:6" ht="32.799999999999997" customHeight="1" x14ac:dyDescent="0.3">
      <c r="A110" s="6" t="s">
        <v>388</v>
      </c>
      <c r="B110" s="9" t="s">
        <v>389</v>
      </c>
      <c r="C110" s="8" t="s">
        <v>452</v>
      </c>
      <c r="D110" s="9" t="str">
        <f>"https://lh3.googleusercontent.com/d/" &amp; 시즌이미지[[#This Row],[파일ID]]</f>
        <v>https://lh3.googleusercontent.com/d/1o6psenMkz8QOTbDm330TedI12bdoAVzq</v>
      </c>
      <c r="E110" s="7" t="str">
        <f>SUBSTITUTE(시즌이미지[[#This Row],[파일명]], ".png","")</f>
        <v>22TS</v>
      </c>
      <c r="F110" s="8" t="e" vm="109">
        <f>_xlfn.IMAGE(시즌이미지[[#This Row],[함수용주소를 DIRECT주소로 변경]],시즌이미지[[#This Row],[대체텍스트]],3,33.642,41.958)</f>
        <v>#VALUE!</v>
      </c>
    </row>
    <row r="111" spans="1:6" ht="32.799999999999997" customHeight="1" x14ac:dyDescent="0.3">
      <c r="A111" s="6" t="s">
        <v>390</v>
      </c>
      <c r="B111" s="9" t="s">
        <v>391</v>
      </c>
      <c r="C111" s="8" t="s">
        <v>452</v>
      </c>
      <c r="D111" s="9" t="str">
        <f>"https://lh3.googleusercontent.com/d/" &amp; 시즌이미지[[#This Row],[파일ID]]</f>
        <v>https://lh3.googleusercontent.com/d/1pLEg1mBVXD_hsqx_oQDQ4rhCKDezHx0l</v>
      </c>
      <c r="E111" s="7" t="str">
        <f>SUBSTITUTE(시즌이미지[[#This Row],[파일명]], ".png","")</f>
        <v>24TS</v>
      </c>
      <c r="F111" s="8" t="e" vm="110">
        <f>_xlfn.IMAGE(시즌이미지[[#This Row],[함수용주소를 DIRECT주소로 변경]],시즌이미지[[#This Row],[대체텍스트]],3,33.642,41.958)</f>
        <v>#VALUE!</v>
      </c>
    </row>
    <row r="112" spans="1:6" ht="32.799999999999997" customHeight="1" x14ac:dyDescent="0.3">
      <c r="A112" s="6" t="s">
        <v>392</v>
      </c>
      <c r="B112" s="9" t="s">
        <v>393</v>
      </c>
      <c r="C112" s="8" t="s">
        <v>452</v>
      </c>
      <c r="D112" s="9" t="str">
        <f>"https://lh3.googleusercontent.com/d/" &amp; 시즌이미지[[#This Row],[파일ID]]</f>
        <v>https://lh3.googleusercontent.com/d/1wZ35WYuQnv_4XgpbknP0V-DfVViNroDy</v>
      </c>
      <c r="E112" s="7" t="str">
        <f>SUBSTITUTE(시즌이미지[[#This Row],[파일명]], ".png","")</f>
        <v>21TS</v>
      </c>
      <c r="F112" s="8" t="e" vm="111">
        <f>_xlfn.IMAGE(시즌이미지[[#This Row],[함수용주소를 DIRECT주소로 변경]],시즌이미지[[#This Row],[대체텍스트]],3,33.642,41.958)</f>
        <v>#VALUE!</v>
      </c>
    </row>
    <row r="113" spans="1:6" ht="32.799999999999997" customHeight="1" x14ac:dyDescent="0.3">
      <c r="A113" s="6" t="s">
        <v>394</v>
      </c>
      <c r="B113" s="9" t="s">
        <v>395</v>
      </c>
      <c r="C113" s="8" t="s">
        <v>452</v>
      </c>
      <c r="D113" s="9" t="str">
        <f>"https://lh3.googleusercontent.com/d/" &amp; 시즌이미지[[#This Row],[파일ID]]</f>
        <v>https://lh3.googleusercontent.com/d/11MJMRz4b4kYKoX4KQK2z3n3vq_4c7PPR</v>
      </c>
      <c r="E113" s="7" t="str">
        <f>SUBSTITUTE(시즌이미지[[#This Row],[파일명]], ".png","")</f>
        <v>20TY</v>
      </c>
      <c r="F113" s="8" t="e" vm="112">
        <f>_xlfn.IMAGE(시즌이미지[[#This Row],[함수용주소를 DIRECT주소로 변경]],시즌이미지[[#This Row],[대체텍스트]],3,33.642,41.958)</f>
        <v>#VALUE!</v>
      </c>
    </row>
    <row r="114" spans="1:6" ht="32.799999999999997" customHeight="1" x14ac:dyDescent="0.3">
      <c r="A114" s="6" t="s">
        <v>396</v>
      </c>
      <c r="B114" s="9" t="s">
        <v>397</v>
      </c>
      <c r="C114" s="8" t="s">
        <v>452</v>
      </c>
      <c r="D114" s="9" t="str">
        <f>"https://lh3.googleusercontent.com/d/" &amp; 시즌이미지[[#This Row],[파일ID]]</f>
        <v>https://lh3.googleusercontent.com/d/11g208LBqEps25N0MoxShSs2b8kVQxXYr</v>
      </c>
      <c r="E114" s="7" t="str">
        <f>SUBSTITUTE(시즌이미지[[#This Row],[파일명]], ".png","")</f>
        <v>24TY-N</v>
      </c>
      <c r="F114" s="8" t="e" vm="113">
        <f>_xlfn.IMAGE(시즌이미지[[#This Row],[함수용주소를 DIRECT주소로 변경]],시즌이미지[[#This Row],[대체텍스트]],3,33.642,41.958)</f>
        <v>#VALUE!</v>
      </c>
    </row>
    <row r="115" spans="1:6" ht="32.799999999999997" customHeight="1" x14ac:dyDescent="0.3">
      <c r="A115" s="6" t="s">
        <v>398</v>
      </c>
      <c r="B115" s="9" t="s">
        <v>399</v>
      </c>
      <c r="C115" s="8" t="s">
        <v>452</v>
      </c>
      <c r="D115" s="9" t="str">
        <f>"https://lh3.googleusercontent.com/d/" &amp; 시즌이미지[[#This Row],[파일ID]]</f>
        <v>https://lh3.googleusercontent.com/d/1BSLDSSpDCbo5UDTi8-esEeNNkJ_ezFnp</v>
      </c>
      <c r="E115" s="7" t="str">
        <f>SUBSTITUTE(시즌이미지[[#This Row],[파일명]], ".png","")</f>
        <v>21TY</v>
      </c>
      <c r="F115" s="8" t="e" vm="114">
        <f>_xlfn.IMAGE(시즌이미지[[#This Row],[함수용주소를 DIRECT주소로 변경]],시즌이미지[[#This Row],[대체텍스트]],3,33.642,41.958)</f>
        <v>#VALUE!</v>
      </c>
    </row>
    <row r="116" spans="1:6" ht="32.799999999999997" customHeight="1" x14ac:dyDescent="0.3">
      <c r="A116" s="6" t="s">
        <v>400</v>
      </c>
      <c r="B116" s="9" t="s">
        <v>401</v>
      </c>
      <c r="C116" s="8" t="s">
        <v>452</v>
      </c>
      <c r="D116" s="9" t="str">
        <f>"https://lh3.googleusercontent.com/d/" &amp; 시즌이미지[[#This Row],[파일ID]]</f>
        <v>https://lh3.googleusercontent.com/d/1DeWGBWiKjg5GpmDnCzsLsBoYnHOTdX4g</v>
      </c>
      <c r="E116" s="7" t="str">
        <f>SUBSTITUTE(시즌이미지[[#This Row],[파일명]], ".png","")</f>
        <v>19TY</v>
      </c>
      <c r="F116" s="8" t="e" vm="115">
        <f>_xlfn.IMAGE(시즌이미지[[#This Row],[함수용주소를 DIRECT주소로 변경]],시즌이미지[[#This Row],[대체텍스트]],3,33.642,41.958)</f>
        <v>#VALUE!</v>
      </c>
    </row>
    <row r="117" spans="1:6" ht="32.799999999999997" customHeight="1" x14ac:dyDescent="0.3">
      <c r="A117" s="6" t="s">
        <v>402</v>
      </c>
      <c r="B117" s="9" t="s">
        <v>403</v>
      </c>
      <c r="C117" s="8" t="s">
        <v>452</v>
      </c>
      <c r="D117" s="9" t="str">
        <f>"https://lh3.googleusercontent.com/d/" &amp; 시즌이미지[[#This Row],[파일ID]]</f>
        <v>https://lh3.googleusercontent.com/d/1FZ0PqY9QUdVsWos9zDoZeX7-iudIQOjw</v>
      </c>
      <c r="E117" s="7" t="str">
        <f>SUBSTITUTE(시즌이미지[[#This Row],[파일명]], ".png","")</f>
        <v>23TY</v>
      </c>
      <c r="F117" s="8" t="e" vm="116">
        <f>_xlfn.IMAGE(시즌이미지[[#This Row],[함수용주소를 DIRECT주소로 변경]],시즌이미지[[#This Row],[대체텍스트]],3,33.642,41.958)</f>
        <v>#VALUE!</v>
      </c>
    </row>
    <row r="118" spans="1:6" ht="32.799999999999997" customHeight="1" x14ac:dyDescent="0.3">
      <c r="A118" s="6" t="s">
        <v>404</v>
      </c>
      <c r="B118" s="9" t="s">
        <v>405</v>
      </c>
      <c r="C118" s="8" t="s">
        <v>452</v>
      </c>
      <c r="D118" s="9" t="str">
        <f>"https://lh3.googleusercontent.com/d/" &amp; 시즌이미지[[#This Row],[파일ID]]</f>
        <v>https://lh3.googleusercontent.com/d/1KIMkXyBoxn88UEZ1nizT7MCKOXZzoNC_</v>
      </c>
      <c r="E118" s="7" t="str">
        <f>SUBSTITUTE(시즌이미지[[#This Row],[파일명]], ".png","")</f>
        <v>24TY</v>
      </c>
      <c r="F118" s="8" t="e" vm="117">
        <f>_xlfn.IMAGE(시즌이미지[[#This Row],[함수용주소를 DIRECT주소로 변경]],시즌이미지[[#This Row],[대체텍스트]],3,33.642,41.958)</f>
        <v>#VALUE!</v>
      </c>
    </row>
    <row r="119" spans="1:6" ht="32.799999999999997" customHeight="1" x14ac:dyDescent="0.3">
      <c r="A119" s="6" t="s">
        <v>406</v>
      </c>
      <c r="B119" s="9" t="s">
        <v>407</v>
      </c>
      <c r="C119" s="8" t="s">
        <v>452</v>
      </c>
      <c r="D119" s="9" t="str">
        <f>"https://lh3.googleusercontent.com/d/" &amp; 시즌이미지[[#This Row],[파일ID]]</f>
        <v>https://lh3.googleusercontent.com/d/1Xf0MyVeyiNgWlUTUo-ufl1pwvRbSRz-l</v>
      </c>
      <c r="E119" s="7" t="str">
        <f>SUBSTITUTE(시즌이미지[[#This Row],[파일명]], ".png","")</f>
        <v>22TY-N</v>
      </c>
      <c r="F119" s="8" t="e" vm="118">
        <f>_xlfn.IMAGE(시즌이미지[[#This Row],[함수용주소를 DIRECT주소로 변경]],시즌이미지[[#This Row],[대체텍스트]],3,33.642,41.958)</f>
        <v>#VALUE!</v>
      </c>
    </row>
    <row r="120" spans="1:6" ht="32.799999999999997" customHeight="1" x14ac:dyDescent="0.3">
      <c r="A120" s="6" t="s">
        <v>408</v>
      </c>
      <c r="B120" s="9" t="s">
        <v>409</v>
      </c>
      <c r="C120" s="8" t="s">
        <v>452</v>
      </c>
      <c r="D120" s="9" t="str">
        <f>"https://lh3.googleusercontent.com/d/" &amp; 시즌이미지[[#This Row],[파일ID]]</f>
        <v>https://lh3.googleusercontent.com/d/1bUBcqvFSd_0yERtDOpVNc2PC9JQyQHYO</v>
      </c>
      <c r="E120" s="7" t="str">
        <f>SUBSTITUTE(시즌이미지[[#This Row],[파일명]], ".png","")</f>
        <v>18TY</v>
      </c>
      <c r="F120" s="8" t="e" vm="119">
        <f>_xlfn.IMAGE(시즌이미지[[#This Row],[함수용주소를 DIRECT주소로 변경]],시즌이미지[[#This Row],[대체텍스트]],3,33.642,41.958)</f>
        <v>#VALUE!</v>
      </c>
    </row>
    <row r="121" spans="1:6" ht="32.799999999999997" customHeight="1" x14ac:dyDescent="0.3">
      <c r="A121" s="6" t="s">
        <v>410</v>
      </c>
      <c r="B121" s="9" t="s">
        <v>411</v>
      </c>
      <c r="C121" s="8" t="s">
        <v>452</v>
      </c>
      <c r="D121" s="9" t="str">
        <f>"https://lh3.googleusercontent.com/d/" &amp; 시즌이미지[[#This Row],[파일ID]]</f>
        <v>https://lh3.googleusercontent.com/d/1dzzRrPxux8kDrN5F6aZDRYDf7yV8bn-e</v>
      </c>
      <c r="E121" s="7" t="str">
        <f>SUBSTITUTE(시즌이미지[[#This Row],[파일명]], ".png","")</f>
        <v>23TY-N</v>
      </c>
      <c r="F121" s="8" t="e" vm="120">
        <f>_xlfn.IMAGE(시즌이미지[[#This Row],[함수용주소를 DIRECT주소로 변경]],시즌이미지[[#This Row],[대체텍스트]],3,33.642,41.958)</f>
        <v>#VALUE!</v>
      </c>
    </row>
    <row r="122" spans="1:6" ht="32.799999999999997" customHeight="1" x14ac:dyDescent="0.3">
      <c r="A122" s="6" t="s">
        <v>412</v>
      </c>
      <c r="B122" s="9" t="s">
        <v>413</v>
      </c>
      <c r="C122" s="8" t="s">
        <v>452</v>
      </c>
      <c r="D122" s="9" t="str">
        <f>"https://lh3.googleusercontent.com/d/" &amp; 시즌이미지[[#This Row],[파일ID]]</f>
        <v>https://lh3.googleusercontent.com/d/1k_hagYm_23JgF0HurN6ufKbTvKV2bU4p</v>
      </c>
      <c r="E122" s="7" t="str">
        <f>SUBSTITUTE(시즌이미지[[#This Row],[파일명]], ".png","")</f>
        <v>22TY</v>
      </c>
      <c r="F122" s="8" t="e" vm="121">
        <f>_xlfn.IMAGE(시즌이미지[[#This Row],[함수용주소를 DIRECT주소로 변경]],시즌이미지[[#This Row],[대체텍스트]],3,33.642,41.958)</f>
        <v>#VALUE!</v>
      </c>
    </row>
    <row r="123" spans="1:6" ht="32.799999999999997" customHeight="1" x14ac:dyDescent="0.3">
      <c r="A123" s="6" t="s">
        <v>414</v>
      </c>
      <c r="B123" s="9" t="s">
        <v>415</v>
      </c>
      <c r="C123" s="8" t="s">
        <v>452</v>
      </c>
      <c r="D123" s="9" t="str">
        <f>"https://lh3.googleusercontent.com/d/" &amp; 시즌이미지[[#This Row],[파일ID]]</f>
        <v>https://lh3.googleusercontent.com/d/1lhFzerN1fzMgRpYwOGKnAr1vdWaKCLUZ</v>
      </c>
      <c r="E123" s="7" t="str">
        <f>SUBSTITUTE(시즌이미지[[#This Row],[파일명]], ".png","")</f>
        <v>20TY-N</v>
      </c>
      <c r="F123" s="8" t="e" vm="122">
        <f>_xlfn.IMAGE(시즌이미지[[#This Row],[함수용주소를 DIRECT주소로 변경]],시즌이미지[[#This Row],[대체텍스트]],3,33.642,41.958)</f>
        <v>#VALUE!</v>
      </c>
    </row>
    <row r="124" spans="1:6" ht="32.799999999999997" customHeight="1" x14ac:dyDescent="0.3">
      <c r="A124" s="6" t="s">
        <v>416</v>
      </c>
      <c r="B124" s="9" t="s">
        <v>417</v>
      </c>
      <c r="C124" s="8" t="s">
        <v>452</v>
      </c>
      <c r="D124" s="9" t="str">
        <f>"https://lh3.googleusercontent.com/d/" &amp; 시즌이미지[[#This Row],[파일ID]]</f>
        <v>https://lh3.googleusercontent.com/d/10kerOxkYDyJ-yY6EA5eFb4bxUPvr3v0A</v>
      </c>
      <c r="E124" s="7" t="str">
        <f>SUBSTITUTE(시즌이미지[[#This Row],[파일명]], ".png","")</f>
        <v>MCI</v>
      </c>
      <c r="F124" s="8" t="e" vm="123">
        <f>_xlfn.IMAGE(시즌이미지[[#This Row],[함수용주소를 DIRECT주소로 변경]],시즌이미지[[#This Row],[대체텍스트]],3,33.642,41.958)</f>
        <v>#VALUE!</v>
      </c>
    </row>
    <row r="125" spans="1:6" ht="32.799999999999997" customHeight="1" x14ac:dyDescent="0.3">
      <c r="A125" s="6" t="s">
        <v>418</v>
      </c>
      <c r="B125" s="9" t="s">
        <v>419</v>
      </c>
      <c r="C125" s="8" t="s">
        <v>452</v>
      </c>
      <c r="D125" s="9" t="str">
        <f>"https://lh3.googleusercontent.com/d/" &amp; 시즌이미지[[#This Row],[파일ID]]</f>
        <v>https://lh3.googleusercontent.com/d/14Eq7GdJxjyummYbkNxOLFvC5mWxyCyA0</v>
      </c>
      <c r="E125" s="7" t="str">
        <f>SUBSTITUTE(시즌이미지[[#This Row],[파일명]], ".png","")</f>
        <v>21NG</v>
      </c>
      <c r="F125" s="8" t="e" vm="124">
        <f>_xlfn.IMAGE(시즌이미지[[#This Row],[함수용주소를 DIRECT주소로 변경]],시즌이미지[[#This Row],[대체텍스트]],3,33.642,41.958)</f>
        <v>#VALUE!</v>
      </c>
    </row>
    <row r="126" spans="1:6" ht="32.799999999999997" customHeight="1" x14ac:dyDescent="0.3">
      <c r="A126" s="6" t="s">
        <v>420</v>
      </c>
      <c r="B126" s="9" t="s">
        <v>421</v>
      </c>
      <c r="C126" s="8" t="s">
        <v>452</v>
      </c>
      <c r="D126" s="9" t="str">
        <f>"https://lh3.googleusercontent.com/d/" &amp; 시즌이미지[[#This Row],[파일ID]]</f>
        <v>https://lh3.googleusercontent.com/d/16Dcx1gL4WWCfoLcLFNHak_LkO7NvGTuC</v>
      </c>
      <c r="E126" s="7" t="str">
        <f>SUBSTITUTE(시즌이미지[[#This Row],[파일명]], ".png","")</f>
        <v>20NG</v>
      </c>
      <c r="F126" s="8" t="e" vm="125">
        <f>_xlfn.IMAGE(시즌이미지[[#This Row],[함수용주소를 DIRECT주소로 변경]],시즌이미지[[#This Row],[대체텍스트]],3,33.642,41.958)</f>
        <v>#VALUE!</v>
      </c>
    </row>
    <row r="127" spans="1:6" ht="32.799999999999997" customHeight="1" x14ac:dyDescent="0.3">
      <c r="A127" s="6" t="s">
        <v>422</v>
      </c>
      <c r="B127" s="9" t="s">
        <v>423</v>
      </c>
      <c r="C127" s="8" t="s">
        <v>452</v>
      </c>
      <c r="D127" s="9" t="str">
        <f>"https://lh3.googleusercontent.com/d/" &amp; 시즌이미지[[#This Row],[파일ID]]</f>
        <v>https://lh3.googleusercontent.com/d/1ZLA5sl8Yee6dtLNH3vdIRz9rY2Bhgr4e</v>
      </c>
      <c r="E127" s="7" t="str">
        <f>SUBSTITUTE(시즌이미지[[#This Row],[파일명]], ".png","")</f>
        <v>22NG</v>
      </c>
      <c r="F127" s="8" t="e" vm="126">
        <f>_xlfn.IMAGE(시즌이미지[[#This Row],[함수용주소를 DIRECT주소로 변경]],시즌이미지[[#This Row],[대체텍스트]],3,33.642,41.958)</f>
        <v>#VALUE!</v>
      </c>
    </row>
    <row r="128" spans="1:6" ht="32.799999999999997" customHeight="1" x14ac:dyDescent="0.3">
      <c r="A128" s="6" t="s">
        <v>424</v>
      </c>
      <c r="B128" s="9" t="s">
        <v>425</v>
      </c>
      <c r="C128" s="8" t="s">
        <v>452</v>
      </c>
      <c r="D128" s="9" t="str">
        <f>"https://lh3.googleusercontent.com/d/" &amp; 시즌이미지[[#This Row],[파일ID]]</f>
        <v>https://lh3.googleusercontent.com/d/1ZYH73-tpsdG8bX8f_tYyg_5A8jbb2bf3</v>
      </c>
      <c r="E128" s="7" t="str">
        <f>SUBSTITUTE(시즌이미지[[#This Row],[파일명]], ".png","")</f>
        <v>LIVA</v>
      </c>
      <c r="F128" s="8" t="e" vm="127">
        <f>_xlfn.IMAGE(시즌이미지[[#This Row],[함수용주소를 DIRECT주소로 변경]],시즌이미지[[#This Row],[대체텍스트]],3,33.642,41.958)</f>
        <v>#VALUE!</v>
      </c>
    </row>
    <row r="129" spans="1:6" ht="32.799999999999997" customHeight="1" x14ac:dyDescent="0.3">
      <c r="A129" s="6" t="s">
        <v>426</v>
      </c>
      <c r="B129" s="9" t="s">
        <v>427</v>
      </c>
      <c r="C129" s="8" t="s">
        <v>452</v>
      </c>
      <c r="D129" s="9" t="str">
        <f>"https://lh3.googleusercontent.com/d/" &amp; 시즌이미지[[#This Row],[파일ID]]</f>
        <v>https://lh3.googleusercontent.com/d/1megZYr51G4cl9QX8pme-ECg0D8s-wlj8</v>
      </c>
      <c r="E129" s="7" t="str">
        <f>SUBSTITUTE(시즌이미지[[#This Row],[파일명]], ".png","")</f>
        <v>CFA</v>
      </c>
      <c r="F129" s="8" t="e" vm="128">
        <f>_xlfn.IMAGE(시즌이미지[[#This Row],[함수용주소를 DIRECT주소로 변경]],시즌이미지[[#This Row],[대체텍스트]],3,33.642,41.958)</f>
        <v>#VALUE!</v>
      </c>
    </row>
    <row r="130" spans="1:6" ht="32.799999999999997" customHeight="1" x14ac:dyDescent="0.3">
      <c r="A130" s="6" t="s">
        <v>428</v>
      </c>
      <c r="B130" s="9" t="s">
        <v>429</v>
      </c>
      <c r="C130" s="8" t="s">
        <v>452</v>
      </c>
      <c r="D130" s="9" t="str">
        <f>"https://lh3.googleusercontent.com/d/" &amp; 시즌이미지[[#This Row],[파일ID]]</f>
        <v>https://lh3.googleusercontent.com/d/1r457C5zXnFGgm37miLC8sKXdTypNhfCm</v>
      </c>
      <c r="E130" s="7" t="str">
        <f>SUBSTITUTE(시즌이미지[[#This Row],[파일명]], ".png","")</f>
        <v>19NG</v>
      </c>
      <c r="F130" s="8" t="e" vm="129">
        <f>_xlfn.IMAGE(시즌이미지[[#This Row],[함수용주소를 DIRECT주소로 변경]],시즌이미지[[#This Row],[대체텍스트]],3,33.642,41.958)</f>
        <v>#VALUE!</v>
      </c>
    </row>
    <row r="131" spans="1:6" ht="32.799999999999997" customHeight="1" x14ac:dyDescent="0.3">
      <c r="A131" s="6" t="s">
        <v>430</v>
      </c>
      <c r="B131" s="9" t="s">
        <v>431</v>
      </c>
      <c r="C131" s="8" t="s">
        <v>452</v>
      </c>
      <c r="D131" s="9" t="str">
        <f>"https://lh3.googleusercontent.com/d/" &amp; 시즌이미지[[#This Row],[파일ID]]</f>
        <v>https://lh3.googleusercontent.com/d/1E0chXqJD-kb-WsKoWS5W57HbEnKiZI7o</v>
      </c>
      <c r="E131" s="7" t="str">
        <f>SUBSTITUTE(시즌이미지[[#This Row],[파일명]], ".png","")</f>
        <v>24HR</v>
      </c>
      <c r="F131" s="8" t="e" vm="130">
        <f>_xlfn.IMAGE(시즌이미지[[#This Row],[함수용주소를 DIRECT주소로 변경]],시즌이미지[[#This Row],[대체텍스트]],3,33.642,41.958)</f>
        <v>#VALUE!</v>
      </c>
    </row>
    <row r="132" spans="1:6" ht="32.799999999999997" customHeight="1" x14ac:dyDescent="0.3">
      <c r="A132" s="6" t="s">
        <v>432</v>
      </c>
      <c r="B132" s="9" t="s">
        <v>433</v>
      </c>
      <c r="C132" s="8" t="s">
        <v>452</v>
      </c>
      <c r="D132" s="9" t="str">
        <f>"https://lh3.googleusercontent.com/d/" &amp; 시즌이미지[[#This Row],[파일ID]]</f>
        <v>https://lh3.googleusercontent.com/d/1_yb0E4VijTaCDJIk7YNTNe8iZ-TTq6nB</v>
      </c>
      <c r="E132" s="7" t="str">
        <f>SUBSTITUTE(시즌이미지[[#This Row],[파일명]], ".png","")</f>
        <v>NTG</v>
      </c>
      <c r="F132" s="8" t="e" vm="131">
        <f>_xlfn.IMAGE(시즌이미지[[#This Row],[함수용주소를 DIRECT주소로 변경]],시즌이미지[[#This Row],[대체텍스트]],3,33.642,41.958)</f>
        <v>#VALUE!</v>
      </c>
    </row>
    <row r="133" spans="1:6" ht="32.799999999999997" customHeight="1" x14ac:dyDescent="0.3">
      <c r="A133" s="6" t="s">
        <v>434</v>
      </c>
      <c r="B133" s="9" t="s">
        <v>435</v>
      </c>
      <c r="C133" s="8" t="s">
        <v>452</v>
      </c>
      <c r="D133" s="9" t="str">
        <f>"https://lh3.googleusercontent.com/d/" &amp; 시즌이미지[[#This Row],[파일ID]]</f>
        <v>https://lh3.googleusercontent.com/d/1jfl5baoVUs5s1pTgXuSYNo--HYIyIp2O</v>
      </c>
      <c r="E133" s="7" t="str">
        <f>SUBSTITUTE(시즌이미지[[#This Row],[파일명]], ".png","")</f>
        <v>23HR</v>
      </c>
      <c r="F133" s="8" t="e" vm="132">
        <f>_xlfn.IMAGE(시즌이미지[[#This Row],[함수용주소를 DIRECT주소로 변경]],시즌이미지[[#This Row],[대체텍스트]],3,33.642,41.958)</f>
        <v>#VALUE!</v>
      </c>
    </row>
    <row r="134" spans="1:6" ht="32.799999999999997" customHeight="1" x14ac:dyDescent="0.3">
      <c r="A134" s="6" t="s">
        <v>436</v>
      </c>
      <c r="B134" s="9" t="s">
        <v>437</v>
      </c>
      <c r="C134" s="8" t="s">
        <v>452</v>
      </c>
      <c r="D134" s="9" t="str">
        <f>"https://lh3.googleusercontent.com/d/" &amp; 시즌이미지[[#This Row],[파일ID]]</f>
        <v>https://lh3.googleusercontent.com/d/1lpv9onkZIHEreuAg2dRi5Fn_zPHHM7Jn</v>
      </c>
      <c r="E134" s="7" t="str">
        <f>SUBSTITUTE(시즌이미지[[#This Row],[파일명]], ".png","")</f>
        <v>22HR</v>
      </c>
      <c r="F134" s="8" t="e" vm="133">
        <f>_xlfn.IMAGE(시즌이미지[[#This Row],[함수용주소를 DIRECT주소로 변경]],시즌이미지[[#This Row],[대체텍스트]],3,33.642,41.958)</f>
        <v>#VALUE!</v>
      </c>
    </row>
    <row r="135" spans="1:6" ht="32.799999999999997" customHeight="1" x14ac:dyDescent="0.3">
      <c r="A135" s="6" t="s">
        <v>438</v>
      </c>
      <c r="B135" s="9" t="s">
        <v>439</v>
      </c>
      <c r="C135" s="8" t="s">
        <v>452</v>
      </c>
      <c r="D135" s="9" t="str">
        <f>"https://lh3.googleusercontent.com/d/" &amp; 시즌이미지[[#This Row],[파일ID]]</f>
        <v>https://lh3.googleusercontent.com/d/1AKw1u48cp3BvDazNfWw0B_Lf39RJs84t</v>
      </c>
      <c r="E135" s="7" t="str">
        <f>SUBSTITUTE(시즌이미지[[#This Row],[파일명]], ".png","")</f>
        <v>FCA</v>
      </c>
      <c r="F135" s="8" t="e" vm="134">
        <f>_xlfn.IMAGE(시즌이미지[[#This Row],[함수용주소를 DIRECT주소로 변경]],시즌이미지[[#This Row],[대체텍스트]],3,33.642,41.958)</f>
        <v>#VALUE!</v>
      </c>
    </row>
    <row r="136" spans="1:6" ht="32.799999999999997" customHeight="1" x14ac:dyDescent="0.3">
      <c r="A136" s="6" t="s">
        <v>440</v>
      </c>
      <c r="B136" s="9" t="s">
        <v>441</v>
      </c>
      <c r="C136" s="8" t="s">
        <v>452</v>
      </c>
      <c r="D136" s="9" t="str">
        <f>"https://lh3.googleusercontent.com/d/" &amp; 시즌이미지[[#This Row],[파일ID]]</f>
        <v>https://lh3.googleusercontent.com/d/1sTJEDgWtJaal5i-QKhuoLGMmqUflHL6V</v>
      </c>
      <c r="E136" s="7" t="str">
        <f>SUBSTITUTE(시즌이미지[[#This Row],[파일명]], ".png","")</f>
        <v>SPL</v>
      </c>
      <c r="F136" s="8" t="e" vm="135">
        <f>_xlfn.IMAGE(시즌이미지[[#This Row],[함수용주소를 DIRECT주소로 변경]],시즌이미지[[#This Row],[대체텍스트]],3,33.642,41.958)</f>
        <v>#VALUE!</v>
      </c>
    </row>
    <row r="137" spans="1:6" ht="32.799999999999997" customHeight="1" x14ac:dyDescent="0.3">
      <c r="A137" s="6" t="s">
        <v>442</v>
      </c>
      <c r="B137" s="9" t="s">
        <v>443</v>
      </c>
      <c r="C137" s="8" t="s">
        <v>452</v>
      </c>
      <c r="D137" s="9" t="str">
        <f>"https://lh3.googleusercontent.com/d/" &amp; 시즌이미지[[#This Row],[파일ID]]</f>
        <v>https://lh3.googleusercontent.com/d/1udq6L7DN8Lk8k-L5BIAfRuF66KYjq9Uo</v>
      </c>
      <c r="E137" s="7" t="str">
        <f>SUBSTITUTE(시즌이미지[[#This Row],[파일명]], ".png","")</f>
        <v>JNM</v>
      </c>
      <c r="F137" s="8" t="e" vm="136">
        <f>_xlfn.IMAGE(시즌이미지[[#This Row],[함수용주소를 DIRECT주소로 변경]],시즌이미지[[#This Row],[대체텍스트]],3,33.642,41.958)</f>
        <v>#VALUE!</v>
      </c>
    </row>
    <row r="138" spans="1:6" ht="32.799999999999997" customHeight="1" x14ac:dyDescent="0.3">
      <c r="A138" s="6" t="s">
        <v>444</v>
      </c>
      <c r="B138" s="9" t="s">
        <v>445</v>
      </c>
      <c r="C138" s="8" t="s">
        <v>452</v>
      </c>
      <c r="D138" s="9" t="str">
        <f>"https://lh3.googleusercontent.com/d/" &amp; 시즌이미지[[#This Row],[파일ID]]</f>
        <v>https://lh3.googleusercontent.com/d/15KyzOil9NN-k501yUh3rclZlbaXuhk3B</v>
      </c>
      <c r="E138" s="7" t="str">
        <f>SUBSTITUTE(시즌이미지[[#This Row],[파일명]], ".png","")</f>
        <v>HRT</v>
      </c>
      <c r="F138" s="8" t="e" vm="137">
        <f>_xlfn.IMAGE(시즌이미지[[#This Row],[함수용주소를 DIRECT주소로 변경]],시즌이미지[[#This Row],[대체텍스트]],3,33.642,41.958)</f>
        <v>#VALUE!</v>
      </c>
    </row>
    <row r="139" spans="1:6" ht="32.799999999999997" customHeight="1" x14ac:dyDescent="0.3">
      <c r="A139" s="6" t="s">
        <v>446</v>
      </c>
      <c r="B139" s="9" t="s">
        <v>447</v>
      </c>
      <c r="C139" s="8" t="s">
        <v>452</v>
      </c>
      <c r="D139" s="9" t="str">
        <f>"https://lh3.googleusercontent.com/d/" &amp; 시즌이미지[[#This Row],[파일ID]]</f>
        <v>https://lh3.googleusercontent.com/d/1NJxiuQubSxNYvJO6eVXPuVhhcd9z5xy8</v>
      </c>
      <c r="E139" s="7" t="str">
        <f>SUBSTITUTE(시즌이미지[[#This Row],[파일명]], ".png","")</f>
        <v>ICONMATCH</v>
      </c>
      <c r="F139" s="8" t="e" vm="138">
        <f>_xlfn.IMAGE(시즌이미지[[#This Row],[함수용주소를 DIRECT주소로 변경]],시즌이미지[[#This Row],[대체텍스트]],3,33.642,41.958)</f>
        <v>#VALUE!</v>
      </c>
    </row>
    <row r="140" spans="1:6" ht="32.799999999999997" customHeight="1" x14ac:dyDescent="0.3">
      <c r="A140" s="6" t="s">
        <v>448</v>
      </c>
      <c r="B140" s="9" t="s">
        <v>449</v>
      </c>
      <c r="C140" s="8" t="s">
        <v>452</v>
      </c>
      <c r="D140" s="9" t="str">
        <f>"https://lh3.googleusercontent.com/d/" &amp; 시즌이미지[[#This Row],[파일ID]]</f>
        <v>https://lh3.googleusercontent.com/d/1TA7yf_5-ZrtAsjJZ-GSTZqA_cEKPNKdv</v>
      </c>
      <c r="E140" s="7" t="str">
        <f>SUBSTITUTE(시즌이미지[[#This Row],[파일명]], ".png","")</f>
        <v>TM(제한)</v>
      </c>
      <c r="F140" s="8" t="e" vm="139">
        <f>_xlfn.IMAGE(시즌이미지[[#This Row],[함수용주소를 DIRECT주소로 변경]],시즌이미지[[#This Row],[대체텍스트]],3,33.642,41.958)</f>
        <v>#VALUE!</v>
      </c>
    </row>
    <row r="141" spans="1:6" ht="32.799999999999997" customHeight="1" x14ac:dyDescent="0.3">
      <c r="A141" s="6" t="s">
        <v>450</v>
      </c>
      <c r="B141" s="9" t="s">
        <v>451</v>
      </c>
      <c r="C141" s="8" t="s">
        <v>452</v>
      </c>
      <c r="D141" s="9" t="str">
        <f>"https://lh3.googleusercontent.com/d/" &amp; 시즌이미지[[#This Row],[파일ID]]</f>
        <v>https://lh3.googleusercontent.com/d/1cnC5AL76mc_rpzKMZXg-I0gpQWj_JuP4</v>
      </c>
      <c r="E141" s="7" t="str">
        <f>SUBSTITUTE(시즌이미지[[#This Row],[파일명]], ".png","")</f>
        <v>25IM</v>
      </c>
      <c r="F141" s="8" t="e" vm="140">
        <f>_xlfn.IMAGE(시즌이미지[[#This Row],[함수용주소를 DIRECT주소로 변경]],시즌이미지[[#This Row],[대체텍스트]],3,33.642,41.958)</f>
        <v>#VALUE!</v>
      </c>
    </row>
    <row r="142" spans="1:6" ht="32.799999999999997" customHeight="1" x14ac:dyDescent="0.3">
      <c r="A142" s="6" t="s">
        <v>453</v>
      </c>
      <c r="B142" s="9" t="s">
        <v>455</v>
      </c>
      <c r="C142" s="8" t="s">
        <v>452</v>
      </c>
      <c r="D142" s="9" t="str">
        <f>"https://lh3.googleusercontent.com/d/" &amp; 시즌이미지[[#This Row],[파일ID]]</f>
        <v>https://lh3.googleusercontent.com/d/173br7t7sdSSCwM1GlbaAh9hVHZFoAu85</v>
      </c>
      <c r="E142" s="7" t="str">
        <f>SUBSTITUTE(시즌이미지[[#This Row],[파일명]], ".png","")</f>
        <v>WG</v>
      </c>
      <c r="F142" s="8" t="e" vm="141">
        <f>_xlfn.IMAGE(시즌이미지[[#This Row],[함수용주소를 DIRECT주소로 변경]],시즌이미지[[#This Row],[대체텍스트]],3,33.642,41.958)</f>
        <v>#VALUE!</v>
      </c>
    </row>
    <row r="143" spans="1:6" ht="32.799999999999997" customHeight="1" x14ac:dyDescent="0.3">
      <c r="A143" s="6" t="s">
        <v>454</v>
      </c>
      <c r="B143" s="9" t="s">
        <v>456</v>
      </c>
      <c r="C143" s="8" t="s">
        <v>452</v>
      </c>
      <c r="D143" s="9" t="str">
        <f>"https://lh3.googleusercontent.com/d/" &amp; 시즌이미지[[#This Row],[파일ID]]</f>
        <v>https://lh3.googleusercontent.com/d/1LgWsyjE_TN_v8mEj6EnvLbTVaVuu7lQ2</v>
      </c>
      <c r="E143" s="7" t="str">
        <f>SUBSTITUTE(시즌이미지[[#This Row],[파일명]], ".png","")</f>
        <v>KHD</v>
      </c>
      <c r="F143" s="8" t="e" vm="142">
        <f>_xlfn.IMAGE(시즌이미지[[#This Row],[함수용주소를 DIRECT주소로 변경]],시즌이미지[[#This Row],[대체텍스트]],3,33.642,41.958)</f>
        <v>#VALUE!</v>
      </c>
    </row>
    <row r="144" spans="1:6" ht="32.799999999999997" customHeight="1" x14ac:dyDescent="0.3">
      <c r="A144" s="6"/>
      <c r="B144" s="9"/>
      <c r="C144" s="8" t="s">
        <v>452</v>
      </c>
      <c r="D144" s="9" t="str">
        <f>"https://lh3.googleusercontent.com/d/" &amp; 시즌이미지[[#This Row],[파일ID]]</f>
        <v>https://lh3.googleusercontent.com/d/</v>
      </c>
      <c r="E144" s="7" t="str">
        <f>SUBSTITUTE(시즌이미지[[#This Row],[파일명]], ".png","")</f>
        <v/>
      </c>
      <c r="F144" s="8" t="e" vm="143">
        <f ca="1">_xlfn.IMAGE(시즌이미지[[#This Row],[함수용주소를 DIRECT주소로 변경]],시즌이미지[[#This Row],[대체텍스트]],3,33.642,41.958)</f>
        <v>#VALUE!</v>
      </c>
    </row>
    <row r="145" spans="1:6" ht="32.799999999999997" customHeight="1" x14ac:dyDescent="0.3">
      <c r="A145" s="6"/>
      <c r="B145" s="9"/>
      <c r="C145" s="8" t="s">
        <v>452</v>
      </c>
      <c r="D145" s="9" t="str">
        <f>"https://lh3.googleusercontent.com/d/" &amp; 시즌이미지[[#This Row],[파일ID]]</f>
        <v>https://lh3.googleusercontent.com/d/</v>
      </c>
      <c r="E145" s="7" t="str">
        <f>SUBSTITUTE(시즌이미지[[#This Row],[파일명]], ".png","")</f>
        <v/>
      </c>
      <c r="F145" s="8" t="e" vm="143">
        <f ca="1">_xlfn.IMAGE(시즌이미지[[#This Row],[함수용주소를 DIRECT주소로 변경]],시즌이미지[[#This Row],[대체텍스트]],3,33.642,41.958)</f>
        <v>#VALUE!</v>
      </c>
    </row>
    <row r="146" spans="1:6" ht="32.799999999999997" customHeight="1" x14ac:dyDescent="0.3">
      <c r="A146" s="6"/>
      <c r="B146" s="9"/>
      <c r="C146" s="8" t="s">
        <v>452</v>
      </c>
      <c r="D146" s="9" t="str">
        <f>"https://lh3.googleusercontent.com/d/" &amp; 시즌이미지[[#This Row],[파일ID]]</f>
        <v>https://lh3.googleusercontent.com/d/</v>
      </c>
      <c r="E146" s="7" t="str">
        <f>SUBSTITUTE(시즌이미지[[#This Row],[파일명]], ".png","")</f>
        <v/>
      </c>
      <c r="F146" s="8" t="e" vm="143">
        <f ca="1">_xlfn.IMAGE(시즌이미지[[#This Row],[함수용주소를 DIRECT주소로 변경]],시즌이미지[[#This Row],[대체텍스트]],3,33.642,41.958)</f>
        <v>#VALUE!</v>
      </c>
    </row>
    <row r="147" spans="1:6" ht="32.799999999999997" customHeight="1" x14ac:dyDescent="0.3">
      <c r="A147" s="6"/>
      <c r="B147" s="9"/>
      <c r="C147" s="8" t="s">
        <v>452</v>
      </c>
      <c r="D147" s="9" t="str">
        <f>"https://lh3.googleusercontent.com/d/" &amp; 시즌이미지[[#This Row],[파일ID]]</f>
        <v>https://lh3.googleusercontent.com/d/</v>
      </c>
      <c r="E147" s="7" t="str">
        <f>SUBSTITUTE(시즌이미지[[#This Row],[파일명]], ".png","")</f>
        <v/>
      </c>
      <c r="F147" s="8" t="e" vm="143">
        <f ca="1">_xlfn.IMAGE(시즌이미지[[#This Row],[함수용주소를 DIRECT주소로 변경]],시즌이미지[[#This Row],[대체텍스트]],3,33.642,41.958)</f>
        <v>#VALUE!</v>
      </c>
    </row>
    <row r="148" spans="1:6" ht="32.799999999999997" customHeight="1" x14ac:dyDescent="0.3">
      <c r="A148" s="6"/>
      <c r="B148" s="9"/>
      <c r="C148" s="8" t="s">
        <v>452</v>
      </c>
      <c r="D148" s="9" t="str">
        <f>"https://lh3.googleusercontent.com/d/" &amp; 시즌이미지[[#This Row],[파일ID]]</f>
        <v>https://lh3.googleusercontent.com/d/</v>
      </c>
      <c r="E148" s="7" t="str">
        <f>SUBSTITUTE(시즌이미지[[#This Row],[파일명]], ".png","")</f>
        <v/>
      </c>
      <c r="F148" s="8" t="e" vm="143">
        <f ca="1">_xlfn.IMAGE(시즌이미지[[#This Row],[함수용주소를 DIRECT주소로 변경]],시즌이미지[[#This Row],[대체텍스트]],3,33.642,41.958)</f>
        <v>#VALUE!</v>
      </c>
    </row>
    <row r="149" spans="1:6" ht="32.799999999999997" customHeight="1" x14ac:dyDescent="0.3">
      <c r="A149" s="6"/>
      <c r="B149" s="9"/>
      <c r="C149" s="8" t="s">
        <v>452</v>
      </c>
      <c r="D149" s="9" t="str">
        <f>"https://lh3.googleusercontent.com/d/" &amp; 시즌이미지[[#This Row],[파일ID]]</f>
        <v>https://lh3.googleusercontent.com/d/</v>
      </c>
      <c r="E149" s="7" t="str">
        <f>SUBSTITUTE(시즌이미지[[#This Row],[파일명]], ".png","")</f>
        <v/>
      </c>
      <c r="F149" s="8" t="e" vm="143">
        <f ca="1">_xlfn.IMAGE(시즌이미지[[#This Row],[함수용주소를 DIRECT주소로 변경]],시즌이미지[[#This Row],[대체텍스트]],3,33.642,41.958)</f>
        <v>#VALUE!</v>
      </c>
    </row>
    <row r="150" spans="1:6" ht="32.799999999999997" customHeight="1" x14ac:dyDescent="0.3">
      <c r="A150" s="6"/>
      <c r="B150" s="9"/>
      <c r="C150" s="8" t="s">
        <v>452</v>
      </c>
      <c r="D150" s="9" t="str">
        <f>"https://lh3.googleusercontent.com/d/" &amp; 시즌이미지[[#This Row],[파일ID]]</f>
        <v>https://lh3.googleusercontent.com/d/</v>
      </c>
      <c r="E150" s="7" t="str">
        <f>SUBSTITUTE(시즌이미지[[#This Row],[파일명]], ".png","")</f>
        <v/>
      </c>
      <c r="F150" s="8" t="e" vm="143">
        <f ca="1">_xlfn.IMAGE(시즌이미지[[#This Row],[함수용주소를 DIRECT주소로 변경]],시즌이미지[[#This Row],[대체텍스트]],3,33.642,41.958)</f>
        <v>#VALUE!</v>
      </c>
    </row>
    <row r="151" spans="1:6" ht="32.799999999999997" customHeight="1" x14ac:dyDescent="0.3">
      <c r="A151" s="6"/>
      <c r="B151" s="9"/>
      <c r="C151" s="8" t="s">
        <v>452</v>
      </c>
      <c r="D151" s="9" t="str">
        <f>"https://lh3.googleusercontent.com/d/" &amp; 시즌이미지[[#This Row],[파일ID]]</f>
        <v>https://lh3.googleusercontent.com/d/</v>
      </c>
      <c r="E151" s="7" t="str">
        <f>SUBSTITUTE(시즌이미지[[#This Row],[파일명]], ".png","")</f>
        <v/>
      </c>
      <c r="F151" s="8" t="e" vm="143">
        <f ca="1">_xlfn.IMAGE(시즌이미지[[#This Row],[함수용주소를 DIRECT주소로 변경]],시즌이미지[[#This Row],[대체텍스트]],3,33.642,41.958)</f>
        <v>#VALUE!</v>
      </c>
    </row>
    <row r="152" spans="1:6" ht="32.799999999999997" customHeight="1" x14ac:dyDescent="0.3">
      <c r="A152" s="6"/>
      <c r="B152" s="9"/>
      <c r="C152" s="8" t="s">
        <v>452</v>
      </c>
      <c r="D152" s="9" t="str">
        <f>"https://lh3.googleusercontent.com/d/" &amp; 시즌이미지[[#This Row],[파일ID]]</f>
        <v>https://lh3.googleusercontent.com/d/</v>
      </c>
      <c r="E152" s="7" t="str">
        <f>SUBSTITUTE(시즌이미지[[#This Row],[파일명]], ".png","")</f>
        <v/>
      </c>
      <c r="F152" s="8" t="e" vm="143">
        <f ca="1">_xlfn.IMAGE(시즌이미지[[#This Row],[함수용주소를 DIRECT주소로 변경]],시즌이미지[[#This Row],[대체텍스트]],3,33.642,41.958)</f>
        <v>#VALUE!</v>
      </c>
    </row>
    <row r="153" spans="1:6" ht="32.799999999999997" customHeight="1" x14ac:dyDescent="0.3">
      <c r="A153" s="6"/>
      <c r="B153" s="9"/>
      <c r="C153" s="8" t="s">
        <v>452</v>
      </c>
      <c r="D153" s="9" t="str">
        <f>"https://lh3.googleusercontent.com/d/" &amp; 시즌이미지[[#This Row],[파일ID]]</f>
        <v>https://lh3.googleusercontent.com/d/</v>
      </c>
      <c r="E153" s="7" t="str">
        <f>SUBSTITUTE(시즌이미지[[#This Row],[파일명]], ".png","")</f>
        <v/>
      </c>
      <c r="F153" s="8" t="e" vm="143">
        <f ca="1">_xlfn.IMAGE(시즌이미지[[#This Row],[함수용주소를 DIRECT주소로 변경]],시즌이미지[[#This Row],[대체텍스트]],3,33.642,41.958)</f>
        <v>#VALUE!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1A76-0AA5-4F5C-BAF6-2C7A7827FF20}">
  <dimension ref="A1:Q153"/>
  <sheetViews>
    <sheetView zoomScaleNormal="100" workbookViewId="0">
      <selection activeCell="C2" sqref="A2:C97"/>
    </sheetView>
  </sheetViews>
  <sheetFormatPr defaultRowHeight="32.799999999999997" customHeight="1" x14ac:dyDescent="0.3"/>
  <cols>
    <col min="1" max="1" width="17.875" style="2" bestFit="1" customWidth="1"/>
    <col min="2" max="3" width="8.375" style="2" customWidth="1"/>
    <col min="4" max="4" width="12.625" style="2" customWidth="1"/>
    <col min="5" max="5" width="15.5" style="2" bestFit="1" customWidth="1"/>
    <col min="6" max="6" width="25.75" style="2" bestFit="1" customWidth="1"/>
    <col min="7" max="12" width="9.125" style="2" customWidth="1"/>
    <col min="13" max="16384" width="9" style="2"/>
  </cols>
  <sheetData>
    <row r="1" spans="1:17" ht="32.799999999999997" customHeight="1" x14ac:dyDescent="0.3">
      <c r="A1" s="6" t="s">
        <v>2</v>
      </c>
      <c r="B1" s="6" t="s">
        <v>3</v>
      </c>
      <c r="C1" s="6" t="s">
        <v>4</v>
      </c>
      <c r="D1" s="8" t="s">
        <v>5</v>
      </c>
      <c r="E1" s="7" t="s">
        <v>6</v>
      </c>
      <c r="F1" s="8" t="s">
        <v>49</v>
      </c>
    </row>
    <row r="2" spans="1:17" ht="32.799999999999997" customHeight="1" x14ac:dyDescent="0.3">
      <c r="A2" s="6" t="s">
        <v>9</v>
      </c>
      <c r="B2" s="6" t="s">
        <v>10</v>
      </c>
      <c r="C2" s="6" t="s">
        <v>11</v>
      </c>
      <c r="D2" s="6" t="str">
        <f>"https://lh3.googleusercontent.com/d/" &amp; 신특이미지[[#This Row],[파일ID]]</f>
        <v>https://lh3.googleusercontent.com/d/17OhRN9tFgzTpQw7EnPIBmXw4u-SGsuRB</v>
      </c>
      <c r="E2" s="7" t="str">
        <f>SUBSTITUTE(신특이미지[[#This Row],[파일명]], ".png","")</f>
        <v>GK공중볼장악</v>
      </c>
      <c r="F2" s="8" t="e" vm="144">
        <f>_xlfn.IMAGE(신특이미지[[#This Row],[함수용주소를 DIRECT주소로 변경]],신특이미지[[#This Row],[대체텍스트]],3,42,42)</f>
        <v>#VALUE!</v>
      </c>
      <c r="J2" s="2" t="s">
        <v>0</v>
      </c>
      <c r="K2" s="2" t="s">
        <v>48</v>
      </c>
      <c r="P2" s="3">
        <v>1</v>
      </c>
      <c r="Q2" s="4">
        <f>P2*37.8</f>
        <v>37.799999999999997</v>
      </c>
    </row>
    <row r="3" spans="1:17" ht="32.799999999999997" customHeight="1" x14ac:dyDescent="0.3">
      <c r="A3" s="6" t="s">
        <v>12</v>
      </c>
      <c r="B3" s="6" t="s">
        <v>13</v>
      </c>
      <c r="C3" s="6" t="s">
        <v>14</v>
      </c>
      <c r="D3" s="6" t="str">
        <f>"https://lh3.googleusercontent.com/d/" &amp; 신특이미지[[#This Row],[파일ID]]</f>
        <v>https://lh3.googleusercontent.com/d/1mLPuqir-2bZzjYuJhIXvBuV_QhdXybwR</v>
      </c>
      <c r="E3" s="7" t="str">
        <f>SUBSTITUTE(신특이미지[[#This Row],[파일명]], ".png","")</f>
        <v>GK빠른반응</v>
      </c>
      <c r="F3" s="8" t="e" vm="145">
        <f>_xlfn.IMAGE(신특이미지[[#This Row],[함수용주소를 DIRECT주소로 변경]],신특이미지[[#This Row],[대체텍스트]],3,42,42)</f>
        <v>#VALUE!</v>
      </c>
      <c r="J3" s="2" t="e" vm="146">
        <v>#VALUE!</v>
      </c>
      <c r="O3" s="2" t="s">
        <v>7</v>
      </c>
      <c r="P3" s="3">
        <v>0.89</v>
      </c>
      <c r="Q3" s="4">
        <f>P3*37.8</f>
        <v>33.641999999999996</v>
      </c>
    </row>
    <row r="4" spans="1:17" ht="32.799999999999997" customHeight="1" x14ac:dyDescent="0.3">
      <c r="A4" s="6" t="s">
        <v>15</v>
      </c>
      <c r="B4" s="6" t="s">
        <v>16</v>
      </c>
      <c r="C4" s="6" t="s">
        <v>17</v>
      </c>
      <c r="D4" s="6" t="str">
        <f>"https://lh3.googleusercontent.com/d/" &amp; 신특이미지[[#This Row],[파일ID]]</f>
        <v>https://lh3.googleusercontent.com/d/1ym0qtaqsapU6AKB220b6yiRFyC5F0Uoi</v>
      </c>
      <c r="E4" s="7" t="str">
        <f>SUBSTITUTE(신특이미지[[#This Row],[파일명]], ".png","")</f>
        <v>두개의심장</v>
      </c>
      <c r="F4" s="8" t="e" vm="147">
        <f>_xlfn.IMAGE(신특이미지[[#This Row],[함수용주소를 DIRECT주소로 변경]],신특이미지[[#This Row],[대체텍스트]],3,42,42)</f>
        <v>#VALUE!</v>
      </c>
      <c r="J4" s="2" t="e" vm="148">
        <v>#VALUE!</v>
      </c>
      <c r="O4" s="2" t="s">
        <v>8</v>
      </c>
      <c r="P4" s="3">
        <v>1.1100000000000001</v>
      </c>
      <c r="Q4" s="4">
        <f>P4*37.8</f>
        <v>41.957999999999998</v>
      </c>
    </row>
    <row r="5" spans="1:17" ht="32.799999999999997" customHeight="1" x14ac:dyDescent="0.3">
      <c r="A5" s="6" t="s">
        <v>18</v>
      </c>
      <c r="B5" s="6" t="s">
        <v>19</v>
      </c>
      <c r="C5" s="6" t="s">
        <v>20</v>
      </c>
      <c r="D5" s="6" t="str">
        <f>"https://lh3.googleusercontent.com/d/" &amp; 신특이미지[[#This Row],[파일ID]]</f>
        <v>https://lh3.googleusercontent.com/d/1xZDwuyNHyhfqCVabUFuBEMuZq66sxW8K</v>
      </c>
      <c r="E5" s="7" t="str">
        <f>SUBSTITUTE(신특이미지[[#This Row],[파일명]], ".png","")</f>
        <v>라인브레이커</v>
      </c>
      <c r="F5" s="8" t="e" vm="149">
        <f>_xlfn.IMAGE(신특이미지[[#This Row],[함수용주소를 DIRECT주소로 변경]],신특이미지[[#This Row],[대체텍스트]],3,42,42)</f>
        <v>#VALUE!</v>
      </c>
      <c r="P5" s="3"/>
      <c r="Q5" s="4"/>
    </row>
    <row r="6" spans="1:17" ht="32.799999999999997" customHeight="1" x14ac:dyDescent="0.3">
      <c r="A6" s="6" t="s">
        <v>45</v>
      </c>
      <c r="B6" s="6" t="s">
        <v>46</v>
      </c>
      <c r="C6" s="6" t="s">
        <v>47</v>
      </c>
      <c r="D6" s="6" t="str">
        <f>"https://lh3.googleusercontent.com/d/" &amp; 신특이미지[[#This Row],[파일ID]]</f>
        <v>https://lh3.googleusercontent.com/d/1Ezt5ewU1w085pzx7N8Up32AWdmREq7kf</v>
      </c>
      <c r="E6" s="7" t="str">
        <f>SUBSTITUTE(신특이미지[[#This Row],[파일명]], ".png","")</f>
        <v>블로커</v>
      </c>
      <c r="F6" s="8" t="e" vm="150">
        <f>_xlfn.IMAGE(신특이미지[[#This Row],[함수용주소를 DIRECT주소로 변경]],신특이미지[[#This Row],[대체텍스트]],3,42,42)</f>
        <v>#VALUE!</v>
      </c>
      <c r="O6" s="2" t="s">
        <v>7</v>
      </c>
      <c r="P6" s="3">
        <v>0.81</v>
      </c>
      <c r="Q6" s="4">
        <f>P6*37.8</f>
        <v>30.617999999999999</v>
      </c>
    </row>
    <row r="7" spans="1:17" ht="32.799999999999997" customHeight="1" x14ac:dyDescent="0.3">
      <c r="A7" s="6" t="s">
        <v>21</v>
      </c>
      <c r="B7" s="6" t="s">
        <v>22</v>
      </c>
      <c r="C7" s="6" t="s">
        <v>23</v>
      </c>
      <c r="D7" s="6" t="str">
        <f>"https://lh3.googleusercontent.com/d/" &amp; 신특이미지[[#This Row],[파일ID]]</f>
        <v>https://lh3.googleusercontent.com/d/1Uo48kxu30mpjvpkt3cjGUSCXKs8nYTQC</v>
      </c>
      <c r="E7" s="7" t="str">
        <f>SUBSTITUTE(신특이미지[[#This Row],[파일명]], ".png","")</f>
        <v>스피드스터</v>
      </c>
      <c r="F7" s="8" t="e" vm="151">
        <f>_xlfn.IMAGE(신특이미지[[#This Row],[함수용주소를 DIRECT주소로 변경]],신특이미지[[#This Row],[대체텍스트]],3,42,42)</f>
        <v>#VALUE!</v>
      </c>
      <c r="O7" s="2" t="s">
        <v>8</v>
      </c>
      <c r="P7" s="3">
        <v>1.31</v>
      </c>
      <c r="Q7" s="4">
        <f>P7*37.8</f>
        <v>49.518000000000001</v>
      </c>
    </row>
    <row r="8" spans="1:17" ht="32.799999999999997" customHeight="1" x14ac:dyDescent="0.3">
      <c r="A8" s="6" t="s">
        <v>24</v>
      </c>
      <c r="B8" s="6" t="s">
        <v>25</v>
      </c>
      <c r="C8" s="6" t="s">
        <v>26</v>
      </c>
      <c r="D8" s="6" t="str">
        <f>"https://lh3.googleusercontent.com/d/" &amp; 신특이미지[[#This Row],[파일ID]]</f>
        <v>https://lh3.googleusercontent.com/d/1qbVXpWySzYBuTOlsS_Ua3qn8r0uPt_WF</v>
      </c>
      <c r="E8" s="7" t="str">
        <f>SUBSTITUTE(신특이미지[[#This Row],[파일명]], ".png","")</f>
        <v>아크로바틱</v>
      </c>
      <c r="F8" s="8" t="e" vm="152">
        <f>_xlfn.IMAGE(신특이미지[[#This Row],[함수용주소를 DIRECT주소로 변경]],신특이미지[[#This Row],[대체텍스트]],3,42,42)</f>
        <v>#VALUE!</v>
      </c>
      <c r="P8" s="3"/>
      <c r="Q8" s="4"/>
    </row>
    <row r="9" spans="1:17" ht="32.799999999999997" customHeight="1" x14ac:dyDescent="0.3">
      <c r="A9" s="6" t="s">
        <v>39</v>
      </c>
      <c r="B9" s="6" t="s">
        <v>40</v>
      </c>
      <c r="C9" s="6" t="s">
        <v>41</v>
      </c>
      <c r="D9" s="6" t="str">
        <f>"https://lh3.googleusercontent.com/d/" &amp; 신특이미지[[#This Row],[파일ID]]</f>
        <v>https://lh3.googleusercontent.com/d/1cnhpMUfqxIzZt9usDlurofLQAGRRF5Wh</v>
      </c>
      <c r="E9" s="7" t="str">
        <f>SUBSTITUTE(신특이미지[[#This Row],[파일명]], ".png","")</f>
        <v>와일드태클러</v>
      </c>
      <c r="F9" s="8" t="e" vm="153">
        <f>_xlfn.IMAGE(신특이미지[[#This Row],[함수용주소를 DIRECT주소로 변경]],신특이미지[[#This Row],[대체텍스트]],3,42,42)</f>
        <v>#VALUE!</v>
      </c>
      <c r="P9" s="3"/>
      <c r="Q9" s="4"/>
    </row>
    <row r="10" spans="1:17" ht="32.799999999999997" customHeight="1" x14ac:dyDescent="0.3">
      <c r="A10" s="6" t="s">
        <v>36</v>
      </c>
      <c r="B10" s="6" t="s">
        <v>37</v>
      </c>
      <c r="C10" s="6" t="s">
        <v>38</v>
      </c>
      <c r="D10" s="6" t="str">
        <f>"https://lh3.googleusercontent.com/d/" &amp; 신특이미지[[#This Row],[파일ID]]</f>
        <v>https://lh3.googleusercontent.com/d/1r7wJCSFrgbeVfYYtmG8plfXJ7Z5xyCMs</v>
      </c>
      <c r="E10" s="7" t="str">
        <f>SUBSTITUTE(신특이미지[[#This Row],[파일명]], ".png","")</f>
        <v>체이서</v>
      </c>
      <c r="F10" s="8" t="e" vm="154">
        <f>_xlfn.IMAGE(신특이미지[[#This Row],[함수용주소를 DIRECT주소로 변경]],신특이미지[[#This Row],[대체텍스트]],3,42,42)</f>
        <v>#VALUE!</v>
      </c>
      <c r="L10" s="2" t="s">
        <v>124</v>
      </c>
      <c r="M10" s="2" t="s">
        <v>125</v>
      </c>
      <c r="N10" s="2" t="s">
        <v>126</v>
      </c>
      <c r="P10" s="3"/>
      <c r="Q10" s="4"/>
    </row>
    <row r="11" spans="1:17" ht="32.799999999999997" customHeight="1" x14ac:dyDescent="0.3">
      <c r="A11" s="6" t="s">
        <v>30</v>
      </c>
      <c r="B11" s="6" t="s">
        <v>31</v>
      </c>
      <c r="C11" s="6" t="s">
        <v>32</v>
      </c>
      <c r="D11" s="6" t="str">
        <f>"https://lh3.googleusercontent.com/d/" &amp; 신특이미지[[#This Row],[파일ID]]</f>
        <v>https://lh3.googleusercontent.com/d/1AHxLA76rJa-CT8kaDUFVyCmPXTiQvemr</v>
      </c>
      <c r="E11" s="7" t="str">
        <f>SUBSTITUTE(신특이미지[[#This Row],[파일명]], ".png","")</f>
        <v>커맨더</v>
      </c>
      <c r="F11" s="8" t="e" vm="155">
        <f>_xlfn.IMAGE(신특이미지[[#This Row],[함수용주소를 DIRECT주소로 변경]],신특이미지[[#This Row],[대체텍스트]],3,42,42)</f>
        <v>#VALUE!</v>
      </c>
      <c r="L11" s="2" t="s">
        <v>321</v>
      </c>
      <c r="M11" s="2" t="s">
        <v>127</v>
      </c>
      <c r="N11" s="2" t="s">
        <v>128</v>
      </c>
      <c r="P11" s="3"/>
      <c r="Q11" s="4"/>
    </row>
    <row r="12" spans="1:17" ht="32.799999999999997" customHeight="1" x14ac:dyDescent="0.3">
      <c r="A12" s="6" t="s">
        <v>27</v>
      </c>
      <c r="B12" s="6" t="s">
        <v>28</v>
      </c>
      <c r="C12" s="6" t="s">
        <v>29</v>
      </c>
      <c r="D12" s="6" t="str">
        <f>"https://lh3.googleusercontent.com/d/" &amp; 신특이미지[[#This Row],[파일ID]]</f>
        <v>https://lh3.googleusercontent.com/d/1rzuRajp1_rEGliTWaJ1c0gpG0rRvEg6M</v>
      </c>
      <c r="E12" s="7" t="str">
        <f>SUBSTITUTE(신특이미지[[#This Row],[파일명]], ".png","")</f>
        <v>크로스포쳐</v>
      </c>
      <c r="F12" s="8" t="e" vm="156">
        <f>_xlfn.IMAGE(신특이미지[[#This Row],[함수용주소를 DIRECT주소로 변경]],신특이미지[[#This Row],[대체텍스트]],3,42,42)</f>
        <v>#VALUE!</v>
      </c>
      <c r="L12" s="2" t="s">
        <v>134</v>
      </c>
      <c r="M12" s="2" t="s">
        <v>135</v>
      </c>
      <c r="N12" s="2" t="s">
        <v>136</v>
      </c>
      <c r="P12" s="3"/>
      <c r="Q12" s="4"/>
    </row>
    <row r="13" spans="1:17" ht="32.799999999999997" customHeight="1" x14ac:dyDescent="0.3">
      <c r="A13" s="6" t="s">
        <v>33</v>
      </c>
      <c r="B13" s="6" t="s">
        <v>34</v>
      </c>
      <c r="C13" s="6" t="s">
        <v>35</v>
      </c>
      <c r="D13" s="6" t="str">
        <f>"https://lh3.googleusercontent.com/d/" &amp; 신특이미지[[#This Row],[파일ID]]</f>
        <v>https://lh3.googleusercontent.com/d/1JW0760-terqy1g7ertCdyg4Q2vLWjZlF</v>
      </c>
      <c r="E13" s="7" t="str">
        <f>SUBSTITUTE(신특이미지[[#This Row],[파일명]], ".png","")</f>
        <v>타이탄</v>
      </c>
      <c r="F13" s="8" t="e" vm="157">
        <f>_xlfn.IMAGE(신특이미지[[#This Row],[함수용주소를 DIRECT주소로 변경]],신특이미지[[#This Row],[대체텍스트]],3,42,42)</f>
        <v>#VALUE!</v>
      </c>
      <c r="L13" s="2" t="s">
        <v>322</v>
      </c>
      <c r="M13" s="2" t="s">
        <v>112</v>
      </c>
      <c r="N13" s="2" t="s">
        <v>113</v>
      </c>
      <c r="P13" s="3"/>
      <c r="Q13" s="4"/>
    </row>
    <row r="14" spans="1:17" ht="32.799999999999997" customHeight="1" x14ac:dyDescent="0.3">
      <c r="A14" s="6" t="s">
        <v>42</v>
      </c>
      <c r="B14" s="6" t="s">
        <v>43</v>
      </c>
      <c r="C14" s="6" t="s">
        <v>44</v>
      </c>
      <c r="D14" s="6" t="str">
        <f>"https://lh3.googleusercontent.com/d/" &amp; 신특이미지[[#This Row],[파일ID]]</f>
        <v>https://lh3.googleusercontent.com/d/1Q0yEFQhafQ2ddMFFVJnv9tnq53eNmIpq</v>
      </c>
      <c r="E14" s="7" t="str">
        <f>SUBSTITUTE(신특이미지[[#This Row],[파일명]], ".png","")</f>
        <v>파이터</v>
      </c>
      <c r="F14" s="8" t="e" vm="158">
        <f>_xlfn.IMAGE(신특이미지[[#This Row],[함수용주소를 DIRECT주소로 변경]],신특이미지[[#This Row],[대체텍스트]],3,42,42)</f>
        <v>#VALUE!</v>
      </c>
      <c r="L14" s="2" t="s">
        <v>114</v>
      </c>
      <c r="M14" s="2" t="s">
        <v>115</v>
      </c>
      <c r="N14" s="2" t="s">
        <v>116</v>
      </c>
      <c r="P14" s="3"/>
      <c r="Q14" s="4"/>
    </row>
    <row r="15" spans="1:17" ht="32.799999999999997" customHeight="1" x14ac:dyDescent="0.3">
      <c r="A15" s="6"/>
      <c r="B15" s="6"/>
      <c r="C15" s="6"/>
      <c r="D15" s="6"/>
      <c r="E15" s="6"/>
      <c r="F15" s="6"/>
      <c r="L15" s="2" t="s">
        <v>323</v>
      </c>
      <c r="M15" s="2" t="s">
        <v>129</v>
      </c>
      <c r="N15" s="2" t="s">
        <v>130</v>
      </c>
    </row>
    <row r="16" spans="1:17" ht="32.799999999999997" customHeight="1" x14ac:dyDescent="0.3">
      <c r="A16" s="6"/>
      <c r="B16" s="6"/>
      <c r="C16" s="6"/>
      <c r="D16" s="6"/>
      <c r="E16" s="6"/>
      <c r="F16" s="6"/>
      <c r="L16" s="2" t="s">
        <v>324</v>
      </c>
      <c r="M16" s="2" t="s">
        <v>80</v>
      </c>
      <c r="N16" s="2" t="s">
        <v>81</v>
      </c>
    </row>
    <row r="17" spans="1:14" ht="32.799999999999997" customHeight="1" x14ac:dyDescent="0.3">
      <c r="A17" s="6"/>
      <c r="B17" s="6"/>
      <c r="C17" s="6"/>
      <c r="D17" s="6"/>
      <c r="E17" s="6"/>
      <c r="F17" s="6"/>
      <c r="L17" s="2" t="s">
        <v>169</v>
      </c>
      <c r="M17" s="2" t="s">
        <v>170</v>
      </c>
      <c r="N17" s="2" t="s">
        <v>171</v>
      </c>
    </row>
    <row r="18" spans="1:14" ht="32.799999999999997" customHeight="1" x14ac:dyDescent="0.3">
      <c r="A18" s="6"/>
      <c r="B18" s="6"/>
      <c r="C18" s="6"/>
      <c r="D18" s="6"/>
      <c r="E18" s="6"/>
      <c r="F18" s="6"/>
      <c r="L18" s="2" t="s">
        <v>325</v>
      </c>
      <c r="M18" s="2" t="s">
        <v>105</v>
      </c>
      <c r="N18" s="2" t="s">
        <v>106</v>
      </c>
    </row>
    <row r="19" spans="1:14" ht="32.799999999999997" customHeight="1" x14ac:dyDescent="0.3">
      <c r="A19" s="6"/>
      <c r="B19" s="6"/>
      <c r="C19" s="6"/>
      <c r="D19" s="6"/>
      <c r="E19" s="6"/>
      <c r="F19" s="6"/>
      <c r="L19" s="2" t="s">
        <v>326</v>
      </c>
      <c r="M19" s="2" t="s">
        <v>119</v>
      </c>
      <c r="N19" s="2" t="s">
        <v>120</v>
      </c>
    </row>
    <row r="20" spans="1:14" ht="32.799999999999997" customHeight="1" x14ac:dyDescent="0.3">
      <c r="A20" s="6"/>
      <c r="B20" s="6"/>
      <c r="C20" s="6"/>
      <c r="D20" s="6"/>
      <c r="E20" s="6"/>
      <c r="F20" s="6"/>
      <c r="L20" s="2" t="s">
        <v>207</v>
      </c>
      <c r="M20" s="2" t="s">
        <v>208</v>
      </c>
      <c r="N20" s="2" t="s">
        <v>209</v>
      </c>
    </row>
    <row r="21" spans="1:14" ht="32.799999999999997" customHeight="1" x14ac:dyDescent="0.3">
      <c r="A21" s="6"/>
      <c r="B21" s="6"/>
      <c r="C21" s="6"/>
      <c r="D21" s="6"/>
      <c r="E21" s="6"/>
      <c r="F21" s="6"/>
      <c r="L21" s="2" t="s">
        <v>327</v>
      </c>
      <c r="M21" s="2" t="s">
        <v>117</v>
      </c>
      <c r="N21" s="2" t="s">
        <v>118</v>
      </c>
    </row>
    <row r="22" spans="1:14" ht="32.799999999999997" customHeight="1" x14ac:dyDescent="0.3">
      <c r="A22" s="6"/>
      <c r="B22" s="6"/>
      <c r="C22" s="6"/>
      <c r="D22" s="6"/>
      <c r="E22" s="6"/>
      <c r="F22" s="6"/>
      <c r="L22" s="2" t="s">
        <v>172</v>
      </c>
      <c r="M22" s="2" t="s">
        <v>173</v>
      </c>
      <c r="N22" s="2" t="s">
        <v>174</v>
      </c>
    </row>
    <row r="23" spans="1:14" ht="32.799999999999997" customHeight="1" x14ac:dyDescent="0.3">
      <c r="A23" s="6"/>
      <c r="B23" s="6"/>
      <c r="C23" s="6"/>
      <c r="D23" s="6"/>
      <c r="E23" s="6"/>
      <c r="F23" s="6"/>
      <c r="L23" s="2" t="s">
        <v>109</v>
      </c>
      <c r="M23" s="2" t="s">
        <v>110</v>
      </c>
      <c r="N23" s="2" t="s">
        <v>111</v>
      </c>
    </row>
    <row r="24" spans="1:14" ht="32.799999999999997" customHeight="1" x14ac:dyDescent="0.3">
      <c r="A24" s="6"/>
      <c r="B24" s="6"/>
      <c r="C24" s="6"/>
      <c r="D24" s="6"/>
      <c r="E24" s="6"/>
      <c r="F24" s="6"/>
      <c r="L24" s="2" t="s">
        <v>328</v>
      </c>
      <c r="M24" s="2" t="s">
        <v>329</v>
      </c>
    </row>
    <row r="25" spans="1:14" ht="32.799999999999997" customHeight="1" x14ac:dyDescent="0.3">
      <c r="A25" s="6"/>
      <c r="B25" s="6"/>
      <c r="C25" s="6"/>
      <c r="D25" s="6"/>
      <c r="E25" s="6"/>
      <c r="F25" s="6"/>
      <c r="L25" s="2" t="s">
        <v>77</v>
      </c>
      <c r="M25" s="2" t="s">
        <v>78</v>
      </c>
      <c r="N25" s="2" t="s">
        <v>79</v>
      </c>
    </row>
    <row r="26" spans="1:14" ht="32.799999999999997" customHeight="1" x14ac:dyDescent="0.3">
      <c r="A26" s="6"/>
      <c r="B26" s="6"/>
      <c r="C26" s="6"/>
      <c r="D26" s="6"/>
      <c r="E26" s="6"/>
      <c r="F26" s="6"/>
      <c r="L26" s="2" t="s">
        <v>330</v>
      </c>
      <c r="M26" s="2" t="s">
        <v>213</v>
      </c>
      <c r="N26" s="2" t="s">
        <v>214</v>
      </c>
    </row>
    <row r="27" spans="1:14" ht="32.799999999999997" customHeight="1" x14ac:dyDescent="0.3">
      <c r="A27" s="6"/>
      <c r="B27" s="6"/>
      <c r="C27" s="6"/>
      <c r="D27" s="6"/>
      <c r="E27" s="6"/>
      <c r="F27" s="6"/>
      <c r="L27" s="2" t="s">
        <v>164</v>
      </c>
      <c r="M27" s="2" t="s">
        <v>165</v>
      </c>
      <c r="N27" s="2" t="s">
        <v>166</v>
      </c>
    </row>
    <row r="28" spans="1:14" ht="32.799999999999997" customHeight="1" x14ac:dyDescent="0.3">
      <c r="A28" s="6"/>
      <c r="B28" s="6"/>
      <c r="C28" s="6"/>
      <c r="D28" s="6"/>
      <c r="E28" s="6"/>
      <c r="F28" s="6"/>
      <c r="L28" s="2" t="s">
        <v>236</v>
      </c>
      <c r="M28" s="2" t="s">
        <v>237</v>
      </c>
      <c r="N28" s="2" t="s">
        <v>238</v>
      </c>
    </row>
    <row r="29" spans="1:14" ht="32.799999999999997" customHeight="1" x14ac:dyDescent="0.3">
      <c r="A29" s="6"/>
      <c r="B29" s="6"/>
      <c r="C29" s="6"/>
      <c r="D29" s="6"/>
      <c r="E29" s="6"/>
      <c r="F29" s="6"/>
      <c r="L29" s="2" t="s">
        <v>331</v>
      </c>
      <c r="M29" s="2" t="s">
        <v>60</v>
      </c>
      <c r="N29" s="2" t="s">
        <v>61</v>
      </c>
    </row>
    <row r="30" spans="1:14" ht="32.799999999999997" customHeight="1" x14ac:dyDescent="0.3">
      <c r="A30" s="6"/>
      <c r="B30" s="6"/>
      <c r="C30" s="6"/>
      <c r="D30" s="6"/>
      <c r="E30" s="6"/>
      <c r="F30" s="6"/>
      <c r="L30" s="2" t="s">
        <v>332</v>
      </c>
      <c r="M30" s="2" t="s">
        <v>333</v>
      </c>
    </row>
    <row r="31" spans="1:14" ht="32.799999999999997" customHeight="1" x14ac:dyDescent="0.3">
      <c r="A31" s="6"/>
      <c r="B31" s="6"/>
      <c r="C31" s="6"/>
      <c r="D31" s="6"/>
      <c r="E31" s="6"/>
      <c r="F31" s="6"/>
      <c r="L31" s="2" t="s">
        <v>334</v>
      </c>
      <c r="M31" s="2" t="s">
        <v>167</v>
      </c>
      <c r="N31" s="2" t="s">
        <v>168</v>
      </c>
    </row>
    <row r="32" spans="1:14" ht="32.799999999999997" customHeight="1" x14ac:dyDescent="0.3">
      <c r="A32" s="6"/>
      <c r="B32" s="6"/>
      <c r="C32" s="6"/>
      <c r="D32" s="6"/>
      <c r="E32" s="6"/>
      <c r="F32" s="6"/>
      <c r="L32" s="2" t="s">
        <v>245</v>
      </c>
      <c r="M32" s="2" t="s">
        <v>246</v>
      </c>
      <c r="N32" s="2" t="s">
        <v>247</v>
      </c>
    </row>
    <row r="33" spans="1:14" ht="32.799999999999997" customHeight="1" x14ac:dyDescent="0.3">
      <c r="A33" s="6"/>
      <c r="B33" s="6"/>
      <c r="C33" s="6"/>
      <c r="D33" s="6"/>
      <c r="E33" s="6"/>
      <c r="F33" s="6"/>
      <c r="L33" s="2" t="s">
        <v>254</v>
      </c>
      <c r="M33" s="2" t="s">
        <v>255</v>
      </c>
      <c r="N33" s="2" t="s">
        <v>256</v>
      </c>
    </row>
    <row r="34" spans="1:14" ht="32.799999999999997" customHeight="1" x14ac:dyDescent="0.3">
      <c r="A34" s="6"/>
      <c r="B34" s="6"/>
      <c r="C34" s="6"/>
      <c r="D34" s="6"/>
      <c r="E34" s="6"/>
      <c r="F34" s="6"/>
      <c r="L34" s="2" t="s">
        <v>65</v>
      </c>
      <c r="M34" s="2" t="s">
        <v>66</v>
      </c>
      <c r="N34" s="2" t="s">
        <v>67</v>
      </c>
    </row>
    <row r="35" spans="1:14" ht="32.799999999999997" customHeight="1" x14ac:dyDescent="0.3">
      <c r="A35" s="6"/>
      <c r="B35" s="6"/>
      <c r="C35" s="6"/>
      <c r="D35" s="6"/>
      <c r="E35" s="6"/>
      <c r="F35" s="6"/>
      <c r="L35" s="2" t="s">
        <v>68</v>
      </c>
      <c r="M35" s="2" t="s">
        <v>69</v>
      </c>
      <c r="N35" s="2" t="s">
        <v>70</v>
      </c>
    </row>
    <row r="36" spans="1:14" ht="32.799999999999997" customHeight="1" x14ac:dyDescent="0.3">
      <c r="A36" s="6"/>
      <c r="B36" s="6"/>
      <c r="C36" s="6"/>
      <c r="D36" s="6"/>
      <c r="E36" s="6"/>
      <c r="F36" s="6"/>
      <c r="L36" s="2" t="s">
        <v>248</v>
      </c>
      <c r="M36" s="2" t="s">
        <v>249</v>
      </c>
      <c r="N36" s="2" t="s">
        <v>250</v>
      </c>
    </row>
    <row r="37" spans="1:14" ht="32.799999999999997" customHeight="1" x14ac:dyDescent="0.3">
      <c r="A37" s="6"/>
      <c r="B37" s="6"/>
      <c r="C37" s="6"/>
      <c r="D37" s="6"/>
      <c r="E37" s="6"/>
      <c r="F37" s="6"/>
      <c r="L37" s="2" t="s">
        <v>335</v>
      </c>
      <c r="M37" s="2" t="s">
        <v>336</v>
      </c>
    </row>
    <row r="38" spans="1:14" ht="32.799999999999997" customHeight="1" x14ac:dyDescent="0.3">
      <c r="A38" s="6"/>
      <c r="B38" s="6"/>
      <c r="C38" s="6"/>
      <c r="D38" s="6"/>
      <c r="E38" s="6"/>
      <c r="F38" s="6"/>
      <c r="L38" s="2" t="s">
        <v>337</v>
      </c>
      <c r="M38" s="2" t="s">
        <v>190</v>
      </c>
      <c r="N38" s="2" t="s">
        <v>191</v>
      </c>
    </row>
    <row r="39" spans="1:14" ht="32.799999999999997" customHeight="1" x14ac:dyDescent="0.3">
      <c r="A39" s="6"/>
      <c r="B39" s="6"/>
      <c r="C39" s="6"/>
      <c r="D39" s="6"/>
      <c r="E39" s="6"/>
      <c r="F39" s="6"/>
      <c r="L39" s="2" t="s">
        <v>338</v>
      </c>
      <c r="M39" s="2" t="s">
        <v>107</v>
      </c>
      <c r="N39" s="2" t="s">
        <v>108</v>
      </c>
    </row>
    <row r="40" spans="1:14" ht="32.799999999999997" customHeight="1" x14ac:dyDescent="0.3">
      <c r="A40" s="6"/>
      <c r="B40" s="6"/>
      <c r="C40" s="6"/>
      <c r="D40" s="6"/>
      <c r="E40" s="6"/>
      <c r="F40" s="6"/>
      <c r="L40" s="2" t="s">
        <v>339</v>
      </c>
      <c r="M40" s="2" t="s">
        <v>91</v>
      </c>
      <c r="N40" s="2" t="s">
        <v>92</v>
      </c>
    </row>
    <row r="41" spans="1:14" ht="32.799999999999997" customHeight="1" x14ac:dyDescent="0.3">
      <c r="A41" s="6"/>
      <c r="B41" s="6"/>
      <c r="C41" s="6"/>
      <c r="D41" s="6"/>
      <c r="E41" s="6"/>
      <c r="F41" s="6"/>
      <c r="L41" s="2" t="s">
        <v>275</v>
      </c>
      <c r="M41" s="2" t="s">
        <v>276</v>
      </c>
      <c r="N41" s="2" t="s">
        <v>277</v>
      </c>
    </row>
    <row r="42" spans="1:14" ht="32.799999999999997" customHeight="1" x14ac:dyDescent="0.3">
      <c r="A42" s="6"/>
      <c r="B42" s="6"/>
      <c r="C42" s="6"/>
      <c r="D42" s="6"/>
      <c r="E42" s="6"/>
      <c r="F42" s="6"/>
      <c r="L42" s="2" t="s">
        <v>218</v>
      </c>
      <c r="M42" s="2" t="s">
        <v>219</v>
      </c>
      <c r="N42" s="2" t="s">
        <v>220</v>
      </c>
    </row>
    <row r="43" spans="1:14" ht="32.799999999999997" customHeight="1" x14ac:dyDescent="0.3">
      <c r="A43" s="6"/>
      <c r="B43" s="6"/>
      <c r="C43" s="6"/>
      <c r="D43" s="6"/>
      <c r="E43" s="6"/>
      <c r="F43" s="6"/>
      <c r="L43" s="2" t="s">
        <v>71</v>
      </c>
      <c r="M43" s="2" t="s">
        <v>72</v>
      </c>
      <c r="N43" s="2" t="s">
        <v>73</v>
      </c>
    </row>
    <row r="44" spans="1:14" ht="32.799999999999997" customHeight="1" x14ac:dyDescent="0.3">
      <c r="A44" s="6"/>
      <c r="B44" s="6"/>
      <c r="C44" s="6"/>
      <c r="D44" s="6"/>
      <c r="E44" s="6"/>
      <c r="F44" s="6"/>
      <c r="L44" s="2" t="s">
        <v>269</v>
      </c>
      <c r="M44" s="2" t="s">
        <v>270</v>
      </c>
      <c r="N44" s="2" t="s">
        <v>271</v>
      </c>
    </row>
    <row r="45" spans="1:14" ht="32.799999999999997" customHeight="1" x14ac:dyDescent="0.3">
      <c r="A45" s="6"/>
      <c r="B45" s="6"/>
      <c r="C45" s="6"/>
      <c r="D45" s="6"/>
      <c r="E45" s="6"/>
      <c r="F45" s="6"/>
      <c r="L45" s="2" t="s">
        <v>266</v>
      </c>
      <c r="M45" s="2" t="s">
        <v>267</v>
      </c>
      <c r="N45" s="2" t="s">
        <v>268</v>
      </c>
    </row>
    <row r="46" spans="1:14" ht="32.799999999999997" customHeight="1" x14ac:dyDescent="0.3">
      <c r="A46" s="6"/>
      <c r="B46" s="6"/>
      <c r="C46" s="6"/>
      <c r="D46" s="6"/>
      <c r="E46" s="6"/>
      <c r="F46" s="6"/>
      <c r="L46" s="2" t="s">
        <v>221</v>
      </c>
      <c r="M46" s="2" t="s">
        <v>222</v>
      </c>
      <c r="N46" s="2" t="s">
        <v>223</v>
      </c>
    </row>
    <row r="47" spans="1:14" ht="32.799999999999997" customHeight="1" x14ac:dyDescent="0.3">
      <c r="A47" s="6"/>
      <c r="B47" s="6"/>
      <c r="C47" s="6"/>
      <c r="D47" s="6"/>
      <c r="E47" s="6"/>
      <c r="F47" s="6"/>
      <c r="L47" s="2" t="s">
        <v>210</v>
      </c>
      <c r="M47" s="2" t="s">
        <v>211</v>
      </c>
      <c r="N47" s="2" t="s">
        <v>212</v>
      </c>
    </row>
    <row r="48" spans="1:14" ht="32.799999999999997" customHeight="1" x14ac:dyDescent="0.3">
      <c r="A48" s="6"/>
      <c r="B48" s="6"/>
      <c r="C48" s="6"/>
      <c r="D48" s="6"/>
      <c r="E48" s="6"/>
      <c r="F48" s="6"/>
      <c r="L48" s="2" t="s">
        <v>195</v>
      </c>
      <c r="M48" s="2" t="s">
        <v>196</v>
      </c>
      <c r="N48" s="2" t="s">
        <v>197</v>
      </c>
    </row>
    <row r="49" spans="1:14" ht="32.799999999999997" customHeight="1" x14ac:dyDescent="0.3">
      <c r="A49" s="6"/>
      <c r="B49" s="6"/>
      <c r="C49" s="6"/>
      <c r="D49" s="6"/>
      <c r="E49" s="6"/>
      <c r="F49" s="6"/>
      <c r="L49" s="2" t="s">
        <v>158</v>
      </c>
      <c r="M49" s="2" t="s">
        <v>159</v>
      </c>
      <c r="N49" s="2" t="s">
        <v>160</v>
      </c>
    </row>
    <row r="50" spans="1:14" ht="32.799999999999997" customHeight="1" x14ac:dyDescent="0.3">
      <c r="A50" s="6"/>
      <c r="B50" s="6"/>
      <c r="C50" s="6"/>
      <c r="D50" s="6"/>
      <c r="E50" s="6"/>
      <c r="F50" s="6"/>
      <c r="L50" s="2" t="s">
        <v>85</v>
      </c>
      <c r="M50" s="2" t="s">
        <v>86</v>
      </c>
      <c r="N50" s="2" t="s">
        <v>87</v>
      </c>
    </row>
    <row r="51" spans="1:14" ht="32.799999999999997" customHeight="1" x14ac:dyDescent="0.3">
      <c r="A51" s="6"/>
      <c r="B51" s="6"/>
      <c r="C51" s="6"/>
      <c r="D51" s="6"/>
      <c r="E51" s="6"/>
      <c r="F51" s="6"/>
      <c r="L51" s="2" t="s">
        <v>96</v>
      </c>
      <c r="M51" s="2" t="s">
        <v>97</v>
      </c>
      <c r="N51" s="2" t="s">
        <v>98</v>
      </c>
    </row>
    <row r="52" spans="1:14" ht="32.799999999999997" customHeight="1" x14ac:dyDescent="0.3">
      <c r="A52" s="6"/>
      <c r="B52" s="6"/>
      <c r="C52" s="6"/>
      <c r="D52" s="6"/>
      <c r="E52" s="6"/>
      <c r="F52" s="6"/>
      <c r="L52" s="2" t="s">
        <v>181</v>
      </c>
      <c r="M52" s="2" t="s">
        <v>182</v>
      </c>
      <c r="N52" s="2" t="s">
        <v>183</v>
      </c>
    </row>
    <row r="53" spans="1:14" ht="32.799999999999997" customHeight="1" x14ac:dyDescent="0.3">
      <c r="A53" s="6"/>
      <c r="B53" s="6"/>
      <c r="C53" s="6"/>
      <c r="D53" s="6"/>
      <c r="E53" s="6"/>
      <c r="F53" s="6"/>
      <c r="L53" s="2" t="s">
        <v>257</v>
      </c>
      <c r="M53" s="2" t="s">
        <v>258</v>
      </c>
      <c r="N53" s="2" t="s">
        <v>259</v>
      </c>
    </row>
    <row r="54" spans="1:14" ht="32.799999999999997" customHeight="1" x14ac:dyDescent="0.3">
      <c r="A54" s="6"/>
      <c r="B54" s="6"/>
      <c r="C54" s="6"/>
      <c r="D54" s="6"/>
      <c r="E54" s="6"/>
      <c r="F54" s="6"/>
      <c r="L54" s="2" t="s">
        <v>175</v>
      </c>
      <c r="M54" s="2" t="s">
        <v>176</v>
      </c>
      <c r="N54" s="2" t="s">
        <v>177</v>
      </c>
    </row>
    <row r="55" spans="1:14" ht="32.799999999999997" customHeight="1" x14ac:dyDescent="0.3">
      <c r="A55" s="6"/>
      <c r="B55" s="6"/>
      <c r="C55" s="6"/>
      <c r="D55" s="6"/>
      <c r="E55" s="6"/>
      <c r="F55" s="6"/>
      <c r="L55" s="2" t="s">
        <v>239</v>
      </c>
      <c r="M55" s="2" t="s">
        <v>240</v>
      </c>
      <c r="N55" s="2" t="s">
        <v>241</v>
      </c>
    </row>
    <row r="56" spans="1:14" ht="32.799999999999997" customHeight="1" x14ac:dyDescent="0.3">
      <c r="A56" s="6"/>
      <c r="B56" s="6"/>
      <c r="C56" s="6"/>
      <c r="D56" s="6"/>
      <c r="E56" s="6"/>
      <c r="F56" s="6"/>
      <c r="L56" s="2" t="s">
        <v>146</v>
      </c>
      <c r="M56" s="2" t="s">
        <v>147</v>
      </c>
      <c r="N56" s="2" t="s">
        <v>148</v>
      </c>
    </row>
    <row r="57" spans="1:14" ht="32.799999999999997" customHeight="1" x14ac:dyDescent="0.3">
      <c r="A57" s="6"/>
      <c r="B57" s="6"/>
      <c r="C57" s="6"/>
      <c r="D57" s="6"/>
      <c r="E57" s="6"/>
      <c r="F57" s="6"/>
      <c r="L57" s="2" t="s">
        <v>251</v>
      </c>
      <c r="M57" s="2" t="s">
        <v>252</v>
      </c>
      <c r="N57" s="2" t="s">
        <v>253</v>
      </c>
    </row>
    <row r="58" spans="1:14" ht="32.799999999999997" customHeight="1" x14ac:dyDescent="0.3">
      <c r="A58" s="6"/>
      <c r="B58" s="6"/>
      <c r="C58" s="6"/>
      <c r="D58" s="6"/>
      <c r="E58" s="6"/>
      <c r="F58" s="6"/>
      <c r="L58" s="2" t="s">
        <v>227</v>
      </c>
      <c r="M58" s="2" t="s">
        <v>228</v>
      </c>
      <c r="N58" s="2" t="s">
        <v>229</v>
      </c>
    </row>
    <row r="59" spans="1:14" ht="32.799999999999997" customHeight="1" x14ac:dyDescent="0.3">
      <c r="A59" s="6"/>
      <c r="B59" s="6"/>
      <c r="C59" s="6"/>
      <c r="D59" s="6"/>
      <c r="E59" s="6"/>
      <c r="F59" s="6"/>
      <c r="L59" s="2" t="s">
        <v>102</v>
      </c>
      <c r="M59" s="2" t="s">
        <v>103</v>
      </c>
      <c r="N59" s="2" t="s">
        <v>104</v>
      </c>
    </row>
    <row r="60" spans="1:14" ht="32.799999999999997" customHeight="1" x14ac:dyDescent="0.3">
      <c r="A60" s="6"/>
      <c r="B60" s="6"/>
      <c r="C60" s="6"/>
      <c r="D60" s="6"/>
      <c r="E60" s="6"/>
      <c r="F60" s="6"/>
      <c r="L60" s="2" t="s">
        <v>140</v>
      </c>
      <c r="M60" s="2" t="s">
        <v>141</v>
      </c>
      <c r="N60" s="2" t="s">
        <v>142</v>
      </c>
    </row>
    <row r="61" spans="1:14" ht="32.799999999999997" customHeight="1" x14ac:dyDescent="0.3">
      <c r="A61" s="6"/>
      <c r="B61" s="6"/>
      <c r="C61" s="6"/>
      <c r="D61" s="6"/>
      <c r="E61" s="6"/>
      <c r="F61" s="6"/>
      <c r="L61" s="2" t="s">
        <v>260</v>
      </c>
      <c r="M61" s="2" t="s">
        <v>261</v>
      </c>
      <c r="N61" s="2" t="s">
        <v>262</v>
      </c>
    </row>
    <row r="62" spans="1:14" ht="32.799999999999997" customHeight="1" x14ac:dyDescent="0.3">
      <c r="A62" s="6"/>
      <c r="B62" s="6"/>
      <c r="C62" s="6"/>
      <c r="D62" s="6"/>
      <c r="E62" s="6"/>
      <c r="F62" s="6"/>
      <c r="L62" s="2" t="s">
        <v>204</v>
      </c>
      <c r="M62" s="2" t="s">
        <v>205</v>
      </c>
      <c r="N62" s="2" t="s">
        <v>206</v>
      </c>
    </row>
    <row r="63" spans="1:14" ht="32.799999999999997" customHeight="1" x14ac:dyDescent="0.3">
      <c r="A63" s="6"/>
      <c r="B63" s="6"/>
      <c r="C63" s="6"/>
      <c r="D63" s="6"/>
      <c r="E63" s="6"/>
      <c r="F63" s="6"/>
      <c r="L63" s="2" t="s">
        <v>230</v>
      </c>
      <c r="M63" s="2" t="s">
        <v>231</v>
      </c>
      <c r="N63" s="2" t="s">
        <v>232</v>
      </c>
    </row>
    <row r="64" spans="1:14" ht="32.799999999999997" customHeight="1" x14ac:dyDescent="0.3">
      <c r="A64" s="6"/>
      <c r="B64" s="6"/>
      <c r="C64" s="6"/>
      <c r="D64" s="6"/>
      <c r="E64" s="6"/>
      <c r="F64" s="6"/>
      <c r="L64" s="2" t="s">
        <v>152</v>
      </c>
      <c r="M64" s="2" t="s">
        <v>153</v>
      </c>
      <c r="N64" s="2" t="s">
        <v>154</v>
      </c>
    </row>
    <row r="65" spans="1:14" ht="32.799999999999997" customHeight="1" x14ac:dyDescent="0.3">
      <c r="A65" s="6"/>
      <c r="B65" s="6"/>
      <c r="C65" s="6"/>
      <c r="D65" s="6"/>
      <c r="E65" s="6"/>
      <c r="F65" s="6"/>
      <c r="L65" s="2" t="s">
        <v>137</v>
      </c>
      <c r="M65" s="2" t="s">
        <v>138</v>
      </c>
      <c r="N65" s="2" t="s">
        <v>139</v>
      </c>
    </row>
    <row r="66" spans="1:14" ht="32.799999999999997" customHeight="1" x14ac:dyDescent="0.3">
      <c r="A66" s="6"/>
      <c r="B66" s="6"/>
      <c r="C66" s="6"/>
      <c r="D66" s="6"/>
      <c r="E66" s="6"/>
      <c r="F66" s="6"/>
      <c r="L66" s="2" t="s">
        <v>149</v>
      </c>
      <c r="M66" s="2" t="s">
        <v>150</v>
      </c>
      <c r="N66" s="2" t="s">
        <v>151</v>
      </c>
    </row>
    <row r="67" spans="1:14" ht="32.799999999999997" customHeight="1" x14ac:dyDescent="0.3">
      <c r="A67" s="6"/>
      <c r="B67" s="6"/>
      <c r="C67" s="6"/>
      <c r="D67" s="6"/>
      <c r="E67" s="6"/>
      <c r="F67" s="6"/>
      <c r="L67" s="2" t="s">
        <v>278</v>
      </c>
      <c r="M67" s="2" t="s">
        <v>279</v>
      </c>
      <c r="N67" s="2" t="s">
        <v>280</v>
      </c>
    </row>
    <row r="68" spans="1:14" ht="32.799999999999997" customHeight="1" x14ac:dyDescent="0.3">
      <c r="A68" s="6"/>
      <c r="B68" s="6"/>
      <c r="C68" s="6"/>
      <c r="D68" s="6"/>
      <c r="E68" s="6"/>
      <c r="F68" s="6"/>
      <c r="L68" s="2" t="s">
        <v>99</v>
      </c>
      <c r="M68" s="2" t="s">
        <v>100</v>
      </c>
      <c r="N68" s="2" t="s">
        <v>101</v>
      </c>
    </row>
    <row r="69" spans="1:14" ht="32.799999999999997" customHeight="1" x14ac:dyDescent="0.3">
      <c r="A69" s="6"/>
      <c r="B69" s="6"/>
      <c r="C69" s="6"/>
      <c r="D69" s="6"/>
      <c r="E69" s="6"/>
      <c r="F69" s="6"/>
      <c r="L69" s="2" t="s">
        <v>224</v>
      </c>
      <c r="M69" s="2" t="s">
        <v>225</v>
      </c>
      <c r="N69" s="2" t="s">
        <v>226</v>
      </c>
    </row>
    <row r="70" spans="1:14" ht="32.799999999999997" customHeight="1" x14ac:dyDescent="0.3">
      <c r="A70" s="6"/>
      <c r="B70" s="6"/>
      <c r="C70" s="6"/>
      <c r="D70" s="6"/>
      <c r="E70" s="6"/>
      <c r="F70" s="6"/>
      <c r="L70" s="2" t="s">
        <v>201</v>
      </c>
      <c r="M70" s="2" t="s">
        <v>202</v>
      </c>
      <c r="N70" s="2" t="s">
        <v>203</v>
      </c>
    </row>
    <row r="71" spans="1:14" ht="32.799999999999997" customHeight="1" x14ac:dyDescent="0.3">
      <c r="A71" s="6"/>
      <c r="B71" s="6"/>
      <c r="C71" s="6"/>
      <c r="D71" s="6"/>
      <c r="E71" s="6"/>
      <c r="F71" s="6"/>
      <c r="L71" s="2" t="s">
        <v>155</v>
      </c>
      <c r="M71" s="2" t="s">
        <v>156</v>
      </c>
      <c r="N71" s="2" t="s">
        <v>157</v>
      </c>
    </row>
    <row r="72" spans="1:14" ht="32.799999999999997" customHeight="1" x14ac:dyDescent="0.3">
      <c r="A72" s="6"/>
      <c r="B72" s="6"/>
      <c r="C72" s="6"/>
      <c r="D72" s="6"/>
      <c r="E72" s="6"/>
      <c r="F72" s="6"/>
      <c r="L72" s="2" t="s">
        <v>187</v>
      </c>
      <c r="M72" s="2" t="s">
        <v>188</v>
      </c>
      <c r="N72" s="2" t="s">
        <v>189</v>
      </c>
    </row>
    <row r="73" spans="1:14" ht="32.799999999999997" customHeight="1" x14ac:dyDescent="0.3">
      <c r="A73" s="6"/>
      <c r="B73" s="6"/>
      <c r="C73" s="6"/>
      <c r="D73" s="6"/>
      <c r="E73" s="6"/>
      <c r="F73" s="6"/>
      <c r="L73" s="2" t="s">
        <v>192</v>
      </c>
      <c r="M73" s="2" t="s">
        <v>193</v>
      </c>
      <c r="N73" s="2" t="s">
        <v>194</v>
      </c>
    </row>
    <row r="74" spans="1:14" ht="32.799999999999997" customHeight="1" x14ac:dyDescent="0.3">
      <c r="A74" s="6"/>
      <c r="B74" s="6"/>
      <c r="C74" s="6"/>
      <c r="D74" s="6"/>
      <c r="E74" s="6"/>
      <c r="F74" s="6"/>
      <c r="L74" s="2" t="s">
        <v>62</v>
      </c>
      <c r="M74" s="2" t="s">
        <v>63</v>
      </c>
      <c r="N74" s="2" t="s">
        <v>64</v>
      </c>
    </row>
    <row r="75" spans="1:14" ht="32.799999999999997" customHeight="1" x14ac:dyDescent="0.3">
      <c r="A75" s="6"/>
      <c r="B75" s="6"/>
      <c r="C75" s="6"/>
      <c r="D75" s="6"/>
      <c r="E75" s="6"/>
      <c r="F75" s="6"/>
      <c r="L75" s="2" t="s">
        <v>198</v>
      </c>
      <c r="M75" s="2" t="s">
        <v>199</v>
      </c>
      <c r="N75" s="2" t="s">
        <v>200</v>
      </c>
    </row>
    <row r="76" spans="1:14" ht="32.799999999999997" customHeight="1" x14ac:dyDescent="0.3">
      <c r="A76" s="6"/>
      <c r="B76" s="6"/>
      <c r="C76" s="6"/>
      <c r="D76" s="6"/>
      <c r="E76" s="6"/>
      <c r="F76" s="6"/>
      <c r="L76" s="2" t="s">
        <v>131</v>
      </c>
      <c r="M76" s="2" t="s">
        <v>132</v>
      </c>
      <c r="N76" s="2" t="s">
        <v>133</v>
      </c>
    </row>
    <row r="77" spans="1:14" ht="32.799999999999997" customHeight="1" x14ac:dyDescent="0.3">
      <c r="A77" s="6"/>
      <c r="B77" s="6"/>
      <c r="C77" s="6"/>
      <c r="D77" s="6"/>
      <c r="E77" s="6"/>
      <c r="F77" s="6"/>
      <c r="L77" s="2" t="s">
        <v>74</v>
      </c>
      <c r="M77" s="2" t="s">
        <v>75</v>
      </c>
      <c r="N77" s="2" t="s">
        <v>76</v>
      </c>
    </row>
    <row r="78" spans="1:14" ht="32.799999999999997" customHeight="1" x14ac:dyDescent="0.3">
      <c r="A78" s="6"/>
      <c r="B78" s="6"/>
      <c r="C78" s="6"/>
      <c r="D78" s="6"/>
      <c r="E78" s="6"/>
      <c r="F78" s="6"/>
      <c r="L78" s="2" t="s">
        <v>57</v>
      </c>
      <c r="M78" s="2" t="s">
        <v>58</v>
      </c>
      <c r="N78" s="2" t="s">
        <v>59</v>
      </c>
    </row>
    <row r="79" spans="1:14" ht="32.799999999999997" customHeight="1" x14ac:dyDescent="0.3">
      <c r="A79" s="6"/>
      <c r="B79" s="6"/>
      <c r="C79" s="6"/>
      <c r="D79" s="6"/>
      <c r="E79" s="6"/>
      <c r="F79" s="6"/>
      <c r="L79" s="2" t="s">
        <v>184</v>
      </c>
      <c r="M79" s="2" t="s">
        <v>185</v>
      </c>
      <c r="N79" s="2" t="s">
        <v>186</v>
      </c>
    </row>
    <row r="80" spans="1:14" ht="32.799999999999997" customHeight="1" x14ac:dyDescent="0.3">
      <c r="A80" s="6"/>
      <c r="B80" s="6"/>
      <c r="C80" s="6"/>
      <c r="D80" s="6"/>
      <c r="E80" s="6"/>
      <c r="F80" s="6"/>
      <c r="L80" s="2" t="s">
        <v>242</v>
      </c>
      <c r="M80" s="2" t="s">
        <v>243</v>
      </c>
      <c r="N80" s="2" t="s">
        <v>244</v>
      </c>
    </row>
    <row r="81" spans="1:14" ht="32.799999999999997" customHeight="1" x14ac:dyDescent="0.3">
      <c r="A81" s="6"/>
      <c r="B81" s="6"/>
      <c r="C81" s="6"/>
      <c r="D81" s="6"/>
      <c r="E81" s="6"/>
      <c r="F81" s="6"/>
      <c r="L81" s="2" t="s">
        <v>178</v>
      </c>
      <c r="M81" s="2" t="s">
        <v>179</v>
      </c>
      <c r="N81" s="2" t="s">
        <v>180</v>
      </c>
    </row>
    <row r="82" spans="1:14" ht="32.799999999999997" customHeight="1" x14ac:dyDescent="0.3">
      <c r="A82" s="6"/>
      <c r="B82" s="6"/>
      <c r="C82" s="6"/>
      <c r="D82" s="6"/>
      <c r="E82" s="6"/>
      <c r="F82" s="6"/>
      <c r="L82" s="2" t="s">
        <v>161</v>
      </c>
      <c r="M82" s="2" t="s">
        <v>162</v>
      </c>
      <c r="N82" s="2" t="s">
        <v>163</v>
      </c>
    </row>
    <row r="83" spans="1:14" ht="32.799999999999997" customHeight="1" x14ac:dyDescent="0.3">
      <c r="A83" s="6"/>
      <c r="B83" s="6"/>
      <c r="C83" s="6"/>
      <c r="D83" s="6"/>
      <c r="E83" s="6"/>
      <c r="F83" s="6"/>
      <c r="L83" s="2" t="s">
        <v>272</v>
      </c>
      <c r="M83" s="2" t="s">
        <v>273</v>
      </c>
      <c r="N83" s="2" t="s">
        <v>274</v>
      </c>
    </row>
    <row r="84" spans="1:14" ht="32.799999999999997" customHeight="1" x14ac:dyDescent="0.3">
      <c r="A84" s="6"/>
      <c r="B84" s="6"/>
      <c r="C84" s="6"/>
      <c r="D84" s="6"/>
      <c r="E84" s="6"/>
      <c r="F84" s="6"/>
      <c r="L84" s="2" t="s">
        <v>121</v>
      </c>
      <c r="M84" s="2" t="s">
        <v>122</v>
      </c>
      <c r="N84" s="2" t="s">
        <v>123</v>
      </c>
    </row>
    <row r="85" spans="1:14" ht="32.799999999999997" customHeight="1" x14ac:dyDescent="0.3">
      <c r="A85" s="6"/>
      <c r="B85" s="6"/>
      <c r="C85" s="6"/>
      <c r="D85" s="6"/>
      <c r="E85" s="6"/>
      <c r="F85" s="6"/>
      <c r="L85" s="2" t="s">
        <v>54</v>
      </c>
      <c r="M85" s="2" t="s">
        <v>55</v>
      </c>
      <c r="N85" s="2" t="s">
        <v>56</v>
      </c>
    </row>
    <row r="86" spans="1:14" ht="32.799999999999997" customHeight="1" x14ac:dyDescent="0.3">
      <c r="A86" s="6"/>
      <c r="B86" s="6"/>
      <c r="C86" s="6"/>
      <c r="D86" s="6"/>
      <c r="E86" s="6"/>
      <c r="F86" s="6"/>
      <c r="L86" s="2" t="s">
        <v>51</v>
      </c>
      <c r="M86" s="2" t="s">
        <v>52</v>
      </c>
      <c r="N86" s="2" t="s">
        <v>53</v>
      </c>
    </row>
    <row r="87" spans="1:14" ht="32.799999999999997" customHeight="1" x14ac:dyDescent="0.3">
      <c r="A87" s="6"/>
      <c r="B87" s="6"/>
      <c r="C87" s="6"/>
      <c r="D87" s="6"/>
      <c r="E87" s="6"/>
      <c r="F87" s="6"/>
      <c r="L87" s="2" t="s">
        <v>93</v>
      </c>
      <c r="M87" s="2" t="s">
        <v>94</v>
      </c>
      <c r="N87" s="2" t="s">
        <v>95</v>
      </c>
    </row>
    <row r="88" spans="1:14" ht="32.799999999999997" customHeight="1" x14ac:dyDescent="0.3">
      <c r="A88" s="6"/>
      <c r="B88" s="6"/>
      <c r="C88" s="6"/>
      <c r="D88" s="6"/>
      <c r="E88" s="6"/>
      <c r="F88" s="6"/>
      <c r="L88" s="2" t="s">
        <v>143</v>
      </c>
      <c r="M88" s="2" t="s">
        <v>144</v>
      </c>
      <c r="N88" s="2" t="s">
        <v>145</v>
      </c>
    </row>
    <row r="89" spans="1:14" ht="32.799999999999997" customHeight="1" x14ac:dyDescent="0.3">
      <c r="A89" s="6"/>
      <c r="B89" s="6"/>
      <c r="C89" s="6"/>
      <c r="D89" s="6"/>
      <c r="E89" s="6"/>
      <c r="F89" s="6"/>
      <c r="L89" s="2" t="s">
        <v>233</v>
      </c>
      <c r="M89" s="2" t="s">
        <v>234</v>
      </c>
      <c r="N89" s="2" t="s">
        <v>235</v>
      </c>
    </row>
    <row r="90" spans="1:14" ht="32.799999999999997" customHeight="1" x14ac:dyDescent="0.3">
      <c r="A90" s="6"/>
      <c r="B90" s="6"/>
      <c r="C90" s="6"/>
      <c r="D90" s="6"/>
      <c r="E90" s="6"/>
      <c r="F90" s="6"/>
      <c r="L90" s="2" t="s">
        <v>263</v>
      </c>
      <c r="M90" s="2" t="s">
        <v>264</v>
      </c>
      <c r="N90" s="2" t="s">
        <v>265</v>
      </c>
    </row>
    <row r="91" spans="1:14" ht="32.799999999999997" customHeight="1" x14ac:dyDescent="0.3">
      <c r="A91" s="6"/>
      <c r="B91" s="6"/>
      <c r="C91" s="6"/>
      <c r="D91" s="6"/>
      <c r="E91" s="6"/>
      <c r="F91" s="6"/>
      <c r="L91" s="2" t="s">
        <v>340</v>
      </c>
      <c r="M91" s="2" t="s">
        <v>341</v>
      </c>
    </row>
    <row r="92" spans="1:14" ht="32.799999999999997" customHeight="1" x14ac:dyDescent="0.3">
      <c r="A92" s="6"/>
      <c r="B92" s="6"/>
      <c r="C92" s="6"/>
      <c r="D92" s="6"/>
      <c r="E92" s="6"/>
      <c r="F92" s="6"/>
      <c r="L92" s="2" t="s">
        <v>342</v>
      </c>
      <c r="M92" s="2" t="s">
        <v>343</v>
      </c>
    </row>
    <row r="93" spans="1:14" ht="32.799999999999997" customHeight="1" x14ac:dyDescent="0.3">
      <c r="A93" s="6"/>
      <c r="B93" s="6"/>
      <c r="C93" s="6"/>
      <c r="D93" s="6"/>
      <c r="E93" s="6"/>
      <c r="F93" s="6"/>
      <c r="L93" s="2" t="s">
        <v>344</v>
      </c>
      <c r="M93" s="2" t="s">
        <v>345</v>
      </c>
    </row>
    <row r="94" spans="1:14" ht="32.799999999999997" customHeight="1" x14ac:dyDescent="0.3">
      <c r="A94" s="6"/>
      <c r="B94" s="6"/>
      <c r="C94" s="6"/>
      <c r="D94" s="6"/>
      <c r="E94" s="6"/>
      <c r="F94" s="6"/>
      <c r="L94" s="2" t="s">
        <v>346</v>
      </c>
      <c r="M94" s="2" t="s">
        <v>347</v>
      </c>
    </row>
    <row r="95" spans="1:14" ht="32.799999999999997" customHeight="1" x14ac:dyDescent="0.3">
      <c r="A95" s="6"/>
      <c r="B95" s="6"/>
      <c r="C95" s="6"/>
      <c r="D95" s="6"/>
      <c r="E95" s="6"/>
      <c r="F95" s="6"/>
      <c r="L95" s="2" t="s">
        <v>88</v>
      </c>
      <c r="M95" s="2" t="s">
        <v>89</v>
      </c>
      <c r="N95" s="2" t="s">
        <v>90</v>
      </c>
    </row>
    <row r="96" spans="1:14" ht="32.799999999999997" customHeight="1" x14ac:dyDescent="0.3">
      <c r="A96" s="6"/>
      <c r="B96" s="6"/>
      <c r="C96" s="6"/>
      <c r="D96" s="6"/>
      <c r="E96" s="6"/>
      <c r="F96" s="6"/>
      <c r="L96" s="2" t="s">
        <v>82</v>
      </c>
      <c r="M96" s="2" t="s">
        <v>83</v>
      </c>
      <c r="N96" s="2" t="s">
        <v>84</v>
      </c>
    </row>
    <row r="97" spans="1:14" ht="32.799999999999997" customHeight="1" x14ac:dyDescent="0.3">
      <c r="A97" s="6"/>
      <c r="B97" s="6"/>
      <c r="C97" s="6"/>
      <c r="D97" s="6"/>
      <c r="E97" s="6"/>
      <c r="F97" s="6"/>
      <c r="L97" s="2" t="s">
        <v>348</v>
      </c>
      <c r="M97" s="2" t="s">
        <v>349</v>
      </c>
    </row>
    <row r="98" spans="1:14" ht="32.799999999999997" customHeight="1" x14ac:dyDescent="0.3">
      <c r="A98" s="6"/>
      <c r="B98" s="6"/>
      <c r="C98" s="6"/>
      <c r="D98" s="6"/>
      <c r="E98" s="6"/>
      <c r="F98" s="6"/>
      <c r="L98" s="2" t="s">
        <v>215</v>
      </c>
      <c r="M98" s="2" t="s">
        <v>216</v>
      </c>
      <c r="N98" s="2" t="s">
        <v>217</v>
      </c>
    </row>
    <row r="99" spans="1:14" ht="32.799999999999997" customHeight="1" x14ac:dyDescent="0.3">
      <c r="A99" s="6"/>
      <c r="B99" s="6"/>
      <c r="C99" s="6"/>
      <c r="D99" s="6"/>
      <c r="E99" s="6"/>
      <c r="F99" s="6"/>
      <c r="L99" s="2" t="s">
        <v>350</v>
      </c>
      <c r="M99" s="2" t="s">
        <v>351</v>
      </c>
    </row>
    <row r="100" spans="1:14" ht="32.799999999999997" customHeight="1" x14ac:dyDescent="0.3">
      <c r="A100" s="6"/>
      <c r="B100" s="6"/>
      <c r="C100" s="6"/>
      <c r="D100" s="6"/>
      <c r="E100" s="6"/>
      <c r="F100" s="6"/>
      <c r="L100" s="2" t="s">
        <v>352</v>
      </c>
      <c r="M100" s="2" t="s">
        <v>353</v>
      </c>
    </row>
    <row r="101" spans="1:14" ht="32.799999999999997" customHeight="1" x14ac:dyDescent="0.3">
      <c r="A101" s="6"/>
      <c r="B101" s="6"/>
      <c r="C101" s="6"/>
      <c r="D101" s="6"/>
      <c r="E101" s="6"/>
      <c r="F101" s="6"/>
      <c r="L101" s="2" t="s">
        <v>354</v>
      </c>
      <c r="M101" s="2" t="s">
        <v>355</v>
      </c>
    </row>
    <row r="102" spans="1:14" ht="32.799999999999997" customHeight="1" x14ac:dyDescent="0.3">
      <c r="A102" s="6"/>
      <c r="B102" s="6"/>
      <c r="C102" s="6"/>
      <c r="D102" s="6"/>
      <c r="E102" s="6"/>
      <c r="F102" s="6"/>
      <c r="L102" s="2" t="s">
        <v>356</v>
      </c>
      <c r="M102" s="2" t="s">
        <v>357</v>
      </c>
    </row>
    <row r="103" spans="1:14" ht="32.799999999999997" customHeight="1" x14ac:dyDescent="0.3">
      <c r="A103" s="6"/>
      <c r="B103" s="6"/>
      <c r="C103" s="6"/>
      <c r="D103" s="6"/>
      <c r="E103" s="6"/>
      <c r="F103" s="6"/>
      <c r="L103" s="2" t="s">
        <v>358</v>
      </c>
      <c r="M103" s="2" t="s">
        <v>359</v>
      </c>
    </row>
    <row r="104" spans="1:14" ht="32.799999999999997" customHeight="1" x14ac:dyDescent="0.3">
      <c r="A104" s="6"/>
      <c r="B104" s="6"/>
      <c r="C104" s="6"/>
      <c r="D104" s="6"/>
      <c r="E104" s="6"/>
      <c r="F104" s="6"/>
      <c r="L104" s="2" t="s">
        <v>360</v>
      </c>
      <c r="M104" s="2" t="s">
        <v>361</v>
      </c>
    </row>
    <row r="105" spans="1:14" ht="32.799999999999997" customHeight="1" x14ac:dyDescent="0.3">
      <c r="A105" s="6"/>
      <c r="B105" s="6"/>
      <c r="C105" s="6"/>
      <c r="D105" s="6"/>
      <c r="E105" s="6"/>
      <c r="F105" s="6"/>
      <c r="L105" s="2" t="s">
        <v>362</v>
      </c>
      <c r="M105" s="2" t="s">
        <v>363</v>
      </c>
    </row>
    <row r="106" spans="1:14" ht="32.799999999999997" customHeight="1" x14ac:dyDescent="0.3">
      <c r="A106" s="6"/>
      <c r="B106" s="6"/>
      <c r="C106" s="6"/>
      <c r="D106" s="6"/>
      <c r="E106" s="6"/>
      <c r="F106" s="6"/>
      <c r="L106" s="2" t="s">
        <v>364</v>
      </c>
      <c r="M106" s="2" t="s">
        <v>365</v>
      </c>
    </row>
    <row r="107" spans="1:14" ht="32.799999999999997" customHeight="1" x14ac:dyDescent="0.3">
      <c r="A107" s="6"/>
      <c r="B107" s="6"/>
      <c r="C107" s="6"/>
      <c r="D107" s="6"/>
      <c r="E107" s="6"/>
      <c r="F107" s="6"/>
      <c r="L107" s="2" t="s">
        <v>366</v>
      </c>
      <c r="M107" s="2" t="s">
        <v>367</v>
      </c>
    </row>
    <row r="108" spans="1:14" ht="32.799999999999997" customHeight="1" x14ac:dyDescent="0.3">
      <c r="A108" s="6"/>
      <c r="B108" s="6"/>
      <c r="C108" s="6"/>
      <c r="D108" s="6"/>
      <c r="E108" s="6"/>
      <c r="F108" s="6"/>
      <c r="L108" s="2" t="s">
        <v>368</v>
      </c>
      <c r="M108" s="2" t="s">
        <v>369</v>
      </c>
    </row>
    <row r="109" spans="1:14" ht="32.799999999999997" customHeight="1" x14ac:dyDescent="0.3">
      <c r="A109" s="6"/>
      <c r="B109" s="6"/>
      <c r="C109" s="6"/>
      <c r="D109" s="6"/>
      <c r="E109" s="6"/>
      <c r="F109" s="6"/>
      <c r="L109" s="2" t="s">
        <v>370</v>
      </c>
      <c r="M109" s="2" t="s">
        <v>371</v>
      </c>
    </row>
    <row r="110" spans="1:14" ht="32.799999999999997" customHeight="1" x14ac:dyDescent="0.3">
      <c r="A110" s="6"/>
      <c r="B110" s="6"/>
      <c r="C110" s="6"/>
      <c r="D110" s="6"/>
      <c r="E110" s="6"/>
      <c r="F110" s="6"/>
      <c r="L110" s="2" t="s">
        <v>372</v>
      </c>
      <c r="M110" s="2" t="s">
        <v>373</v>
      </c>
    </row>
    <row r="111" spans="1:14" ht="32.799999999999997" customHeight="1" x14ac:dyDescent="0.3">
      <c r="A111" s="6"/>
      <c r="B111" s="6"/>
      <c r="C111" s="6"/>
      <c r="D111" s="6"/>
      <c r="E111" s="6"/>
      <c r="F111" s="6"/>
      <c r="L111" s="2" t="s">
        <v>374</v>
      </c>
      <c r="M111" s="2" t="s">
        <v>375</v>
      </c>
    </row>
    <row r="112" spans="1:14" ht="32.799999999999997" customHeight="1" x14ac:dyDescent="0.3">
      <c r="A112" s="6"/>
      <c r="B112" s="6"/>
      <c r="C112" s="6"/>
      <c r="D112" s="6"/>
      <c r="E112" s="6"/>
      <c r="F112" s="6"/>
      <c r="L112" s="2" t="s">
        <v>376</v>
      </c>
      <c r="M112" s="2" t="s">
        <v>377</v>
      </c>
    </row>
    <row r="113" spans="1:13" ht="32.799999999999997" customHeight="1" x14ac:dyDescent="0.3">
      <c r="A113" s="6"/>
      <c r="B113" s="6"/>
      <c r="C113" s="6"/>
      <c r="D113" s="6"/>
      <c r="E113" s="6"/>
      <c r="F113" s="6"/>
      <c r="L113" s="2" t="s">
        <v>378</v>
      </c>
      <c r="M113" s="2" t="s">
        <v>379</v>
      </c>
    </row>
    <row r="114" spans="1:13" ht="32.799999999999997" customHeight="1" x14ac:dyDescent="0.3">
      <c r="A114" s="6"/>
      <c r="B114" s="6"/>
      <c r="C114" s="6"/>
      <c r="D114" s="6"/>
      <c r="E114" s="6"/>
      <c r="F114" s="6"/>
      <c r="L114" s="2" t="s">
        <v>380</v>
      </c>
      <c r="M114" s="2" t="s">
        <v>381</v>
      </c>
    </row>
    <row r="115" spans="1:13" ht="32.799999999999997" customHeight="1" x14ac:dyDescent="0.3">
      <c r="A115" s="6"/>
      <c r="B115" s="6"/>
      <c r="C115" s="6"/>
      <c r="D115" s="6"/>
      <c r="E115" s="6"/>
      <c r="F115" s="6"/>
      <c r="L115" s="2" t="s">
        <v>382</v>
      </c>
      <c r="M115" s="2" t="s">
        <v>383</v>
      </c>
    </row>
    <row r="116" spans="1:13" ht="32.799999999999997" customHeight="1" x14ac:dyDescent="0.3">
      <c r="A116" s="6"/>
      <c r="B116" s="6"/>
      <c r="C116" s="6"/>
      <c r="D116" s="6"/>
      <c r="E116" s="6"/>
      <c r="F116" s="6"/>
      <c r="L116" s="2" t="s">
        <v>384</v>
      </c>
      <c r="M116" s="2" t="s">
        <v>385</v>
      </c>
    </row>
    <row r="117" spans="1:13" ht="32.799999999999997" customHeight="1" x14ac:dyDescent="0.3">
      <c r="A117" s="6"/>
      <c r="B117" s="6"/>
      <c r="C117" s="6"/>
      <c r="D117" s="6"/>
      <c r="E117" s="6"/>
      <c r="F117" s="6"/>
      <c r="L117" s="2" t="s">
        <v>386</v>
      </c>
      <c r="M117" s="2" t="s">
        <v>387</v>
      </c>
    </row>
    <row r="118" spans="1:13" ht="32.799999999999997" customHeight="1" x14ac:dyDescent="0.3">
      <c r="A118" s="6"/>
      <c r="B118" s="6"/>
      <c r="C118" s="6"/>
      <c r="D118" s="6"/>
      <c r="E118" s="6"/>
      <c r="F118" s="6"/>
      <c r="L118" s="2" t="s">
        <v>388</v>
      </c>
      <c r="M118" s="2" t="s">
        <v>389</v>
      </c>
    </row>
    <row r="119" spans="1:13" ht="32.799999999999997" customHeight="1" x14ac:dyDescent="0.3">
      <c r="A119" s="6"/>
      <c r="B119" s="6"/>
      <c r="C119" s="6"/>
      <c r="D119" s="6"/>
      <c r="E119" s="6"/>
      <c r="F119" s="6"/>
      <c r="L119" s="2" t="s">
        <v>390</v>
      </c>
      <c r="M119" s="2" t="s">
        <v>391</v>
      </c>
    </row>
    <row r="120" spans="1:13" ht="32.799999999999997" customHeight="1" x14ac:dyDescent="0.3">
      <c r="A120" s="6"/>
      <c r="B120" s="6"/>
      <c r="C120" s="6"/>
      <c r="D120" s="6"/>
      <c r="E120" s="6"/>
      <c r="F120" s="6"/>
      <c r="L120" s="2" t="s">
        <v>392</v>
      </c>
      <c r="M120" s="2" t="s">
        <v>393</v>
      </c>
    </row>
    <row r="121" spans="1:13" ht="32.799999999999997" customHeight="1" x14ac:dyDescent="0.3">
      <c r="A121" s="6"/>
      <c r="B121" s="6"/>
      <c r="C121" s="6"/>
      <c r="D121" s="6"/>
      <c r="E121" s="6"/>
      <c r="F121" s="6"/>
      <c r="L121" s="2" t="s">
        <v>394</v>
      </c>
      <c r="M121" s="2" t="s">
        <v>395</v>
      </c>
    </row>
    <row r="122" spans="1:13" ht="32.799999999999997" customHeight="1" x14ac:dyDescent="0.3">
      <c r="A122" s="6"/>
      <c r="B122" s="6"/>
      <c r="C122" s="6"/>
      <c r="D122" s="6"/>
      <c r="E122" s="6"/>
      <c r="F122" s="6"/>
      <c r="L122" s="2" t="s">
        <v>396</v>
      </c>
      <c r="M122" s="2" t="s">
        <v>397</v>
      </c>
    </row>
    <row r="123" spans="1:13" ht="32.799999999999997" customHeight="1" x14ac:dyDescent="0.3">
      <c r="A123" s="6"/>
      <c r="B123" s="6"/>
      <c r="C123" s="6"/>
      <c r="D123" s="6"/>
      <c r="E123" s="6"/>
      <c r="F123" s="6"/>
      <c r="L123" s="2" t="s">
        <v>398</v>
      </c>
      <c r="M123" s="2" t="s">
        <v>399</v>
      </c>
    </row>
    <row r="124" spans="1:13" ht="32.799999999999997" customHeight="1" x14ac:dyDescent="0.3">
      <c r="A124" s="6"/>
      <c r="B124" s="6"/>
      <c r="C124" s="6"/>
      <c r="D124" s="6"/>
      <c r="E124" s="6"/>
      <c r="F124" s="6"/>
      <c r="L124" s="2" t="s">
        <v>400</v>
      </c>
      <c r="M124" s="2" t="s">
        <v>401</v>
      </c>
    </row>
    <row r="125" spans="1:13" ht="32.799999999999997" customHeight="1" x14ac:dyDescent="0.3">
      <c r="A125" s="6"/>
      <c r="B125" s="6"/>
      <c r="C125" s="6"/>
      <c r="D125" s="6"/>
      <c r="E125" s="6"/>
      <c r="F125" s="6"/>
      <c r="L125" s="2" t="s">
        <v>402</v>
      </c>
      <c r="M125" s="2" t="s">
        <v>403</v>
      </c>
    </row>
    <row r="126" spans="1:13" ht="32.799999999999997" customHeight="1" x14ac:dyDescent="0.3">
      <c r="A126" s="6"/>
      <c r="B126" s="6"/>
      <c r="C126" s="6"/>
      <c r="D126" s="6"/>
      <c r="E126" s="6"/>
      <c r="F126" s="6"/>
      <c r="L126" s="2" t="s">
        <v>404</v>
      </c>
      <c r="M126" s="2" t="s">
        <v>405</v>
      </c>
    </row>
    <row r="127" spans="1:13" ht="32.799999999999997" customHeight="1" x14ac:dyDescent="0.3">
      <c r="A127" s="6"/>
      <c r="B127" s="6"/>
      <c r="C127" s="6"/>
      <c r="D127" s="6"/>
      <c r="E127" s="6"/>
      <c r="F127" s="6"/>
      <c r="L127" s="2" t="s">
        <v>406</v>
      </c>
      <c r="M127" s="2" t="s">
        <v>407</v>
      </c>
    </row>
    <row r="128" spans="1:13" ht="32.799999999999997" customHeight="1" x14ac:dyDescent="0.3">
      <c r="A128" s="6"/>
      <c r="B128" s="6"/>
      <c r="C128" s="6"/>
      <c r="D128" s="6"/>
      <c r="E128" s="6"/>
      <c r="F128" s="6"/>
      <c r="L128" s="2" t="s">
        <v>408</v>
      </c>
      <c r="M128" s="2" t="s">
        <v>409</v>
      </c>
    </row>
    <row r="129" spans="1:13" ht="32.799999999999997" customHeight="1" x14ac:dyDescent="0.3">
      <c r="A129" s="6"/>
      <c r="B129" s="6"/>
      <c r="C129" s="6"/>
      <c r="D129" s="6"/>
      <c r="E129" s="6"/>
      <c r="F129" s="6"/>
      <c r="L129" s="2" t="s">
        <v>410</v>
      </c>
      <c r="M129" s="2" t="s">
        <v>411</v>
      </c>
    </row>
    <row r="130" spans="1:13" ht="32.799999999999997" customHeight="1" x14ac:dyDescent="0.3">
      <c r="A130" s="6"/>
      <c r="B130" s="6"/>
      <c r="C130" s="6"/>
      <c r="D130" s="6"/>
      <c r="E130" s="6"/>
      <c r="F130" s="6"/>
      <c r="L130" s="2" t="s">
        <v>412</v>
      </c>
      <c r="M130" s="2" t="s">
        <v>413</v>
      </c>
    </row>
    <row r="131" spans="1:13" ht="32.799999999999997" customHeight="1" x14ac:dyDescent="0.3">
      <c r="A131" s="6"/>
      <c r="B131" s="6"/>
      <c r="C131" s="6"/>
      <c r="D131" s="6"/>
      <c r="E131" s="6"/>
      <c r="F131" s="6"/>
      <c r="L131" s="2" t="s">
        <v>414</v>
      </c>
      <c r="M131" s="2" t="s">
        <v>415</v>
      </c>
    </row>
    <row r="132" spans="1:13" ht="32.799999999999997" customHeight="1" x14ac:dyDescent="0.3">
      <c r="A132" s="6"/>
      <c r="B132" s="6"/>
      <c r="C132" s="6"/>
      <c r="D132" s="6"/>
      <c r="E132" s="6"/>
      <c r="F132" s="6"/>
      <c r="L132" s="2" t="s">
        <v>416</v>
      </c>
      <c r="M132" s="2" t="s">
        <v>417</v>
      </c>
    </row>
    <row r="133" spans="1:13" ht="32.799999999999997" customHeight="1" x14ac:dyDescent="0.3">
      <c r="A133" s="6"/>
      <c r="B133" s="6"/>
      <c r="C133" s="6"/>
      <c r="D133" s="6"/>
      <c r="E133" s="6"/>
      <c r="F133" s="6"/>
      <c r="L133" s="2" t="s">
        <v>418</v>
      </c>
      <c r="M133" s="2" t="s">
        <v>419</v>
      </c>
    </row>
    <row r="134" spans="1:13" ht="32.799999999999997" customHeight="1" x14ac:dyDescent="0.3">
      <c r="A134" s="6"/>
      <c r="B134" s="6"/>
      <c r="C134" s="6"/>
      <c r="D134" s="6"/>
      <c r="E134" s="6"/>
      <c r="F134" s="6"/>
      <c r="L134" s="2" t="s">
        <v>420</v>
      </c>
      <c r="M134" s="2" t="s">
        <v>421</v>
      </c>
    </row>
    <row r="135" spans="1:13" ht="32.799999999999997" customHeight="1" x14ac:dyDescent="0.3">
      <c r="A135" s="6"/>
      <c r="B135" s="6"/>
      <c r="C135" s="6"/>
      <c r="D135" s="6"/>
      <c r="E135" s="6"/>
      <c r="F135" s="6"/>
      <c r="L135" s="2" t="s">
        <v>422</v>
      </c>
      <c r="M135" s="2" t="s">
        <v>423</v>
      </c>
    </row>
    <row r="136" spans="1:13" ht="32.799999999999997" customHeight="1" x14ac:dyDescent="0.3">
      <c r="A136" s="6"/>
      <c r="B136" s="6"/>
      <c r="C136" s="6"/>
      <c r="D136" s="6"/>
      <c r="E136" s="6"/>
      <c r="F136" s="6"/>
      <c r="L136" s="2" t="s">
        <v>424</v>
      </c>
      <c r="M136" s="2" t="s">
        <v>425</v>
      </c>
    </row>
    <row r="137" spans="1:13" ht="32.799999999999997" customHeight="1" x14ac:dyDescent="0.3">
      <c r="A137" s="6"/>
      <c r="B137" s="6"/>
      <c r="C137" s="6"/>
      <c r="D137" s="6"/>
      <c r="E137" s="6"/>
      <c r="F137" s="6"/>
      <c r="L137" s="2" t="s">
        <v>426</v>
      </c>
      <c r="M137" s="2" t="s">
        <v>427</v>
      </c>
    </row>
    <row r="138" spans="1:13" ht="32.799999999999997" customHeight="1" x14ac:dyDescent="0.3">
      <c r="A138" s="6"/>
      <c r="B138" s="6"/>
      <c r="C138" s="6"/>
      <c r="D138" s="6"/>
      <c r="E138" s="6"/>
      <c r="F138" s="6"/>
      <c r="L138" s="2" t="s">
        <v>428</v>
      </c>
      <c r="M138" s="2" t="s">
        <v>429</v>
      </c>
    </row>
    <row r="139" spans="1:13" ht="32.799999999999997" customHeight="1" x14ac:dyDescent="0.3">
      <c r="A139" s="6"/>
      <c r="B139" s="6"/>
      <c r="C139" s="6"/>
      <c r="D139" s="6"/>
      <c r="E139" s="6"/>
      <c r="F139" s="6"/>
      <c r="L139" s="2" t="s">
        <v>430</v>
      </c>
      <c r="M139" s="2" t="s">
        <v>431</v>
      </c>
    </row>
    <row r="140" spans="1:13" ht="32.799999999999997" customHeight="1" x14ac:dyDescent="0.3">
      <c r="A140" s="6"/>
      <c r="B140" s="6"/>
      <c r="C140" s="6"/>
      <c r="D140" s="6"/>
      <c r="E140" s="6"/>
      <c r="F140" s="6"/>
      <c r="L140" s="2" t="s">
        <v>432</v>
      </c>
      <c r="M140" s="2" t="s">
        <v>433</v>
      </c>
    </row>
    <row r="141" spans="1:13" ht="32.799999999999997" customHeight="1" x14ac:dyDescent="0.3">
      <c r="A141" s="6"/>
      <c r="B141" s="6"/>
      <c r="C141" s="6"/>
      <c r="D141" s="6"/>
      <c r="E141" s="6"/>
      <c r="F141" s="6"/>
      <c r="L141" s="2" t="s">
        <v>434</v>
      </c>
      <c r="M141" s="2" t="s">
        <v>435</v>
      </c>
    </row>
    <row r="142" spans="1:13" ht="32.799999999999997" customHeight="1" x14ac:dyDescent="0.3">
      <c r="A142" s="6"/>
      <c r="B142" s="6"/>
      <c r="C142" s="6"/>
      <c r="D142" s="6"/>
      <c r="E142" s="6"/>
      <c r="F142" s="6"/>
      <c r="L142" s="2" t="s">
        <v>436</v>
      </c>
      <c r="M142" s="2" t="s">
        <v>437</v>
      </c>
    </row>
    <row r="143" spans="1:13" ht="32.799999999999997" customHeight="1" x14ac:dyDescent="0.3">
      <c r="A143" s="6"/>
      <c r="B143" s="6"/>
      <c r="C143" s="6"/>
      <c r="D143" s="6"/>
      <c r="E143" s="6"/>
      <c r="F143" s="6"/>
      <c r="L143" s="2" t="s">
        <v>438</v>
      </c>
      <c r="M143" s="2" t="s">
        <v>439</v>
      </c>
    </row>
    <row r="144" spans="1:13" ht="32.799999999999997" customHeight="1" x14ac:dyDescent="0.3">
      <c r="A144" s="6"/>
      <c r="B144" s="6"/>
      <c r="C144" s="6"/>
      <c r="D144" s="6"/>
      <c r="E144" s="6"/>
      <c r="F144" s="6"/>
      <c r="L144" s="2" t="s">
        <v>440</v>
      </c>
      <c r="M144" s="2" t="s">
        <v>441</v>
      </c>
    </row>
    <row r="145" spans="1:13" ht="32.799999999999997" customHeight="1" x14ac:dyDescent="0.3">
      <c r="A145" s="6"/>
      <c r="B145" s="6"/>
      <c r="C145" s="6"/>
      <c r="D145" s="6"/>
      <c r="E145" s="6"/>
      <c r="F145" s="6"/>
      <c r="L145" s="2" t="s">
        <v>442</v>
      </c>
      <c r="M145" s="2" t="s">
        <v>443</v>
      </c>
    </row>
    <row r="146" spans="1:13" ht="32.799999999999997" customHeight="1" x14ac:dyDescent="0.3">
      <c r="A146" s="6"/>
      <c r="B146" s="6"/>
      <c r="C146" s="6"/>
      <c r="D146" s="6"/>
      <c r="E146" s="6"/>
      <c r="F146" s="6"/>
      <c r="L146" s="2" t="s">
        <v>444</v>
      </c>
      <c r="M146" s="2" t="s">
        <v>445</v>
      </c>
    </row>
    <row r="147" spans="1:13" ht="32.799999999999997" customHeight="1" x14ac:dyDescent="0.3">
      <c r="A147" s="6"/>
      <c r="B147" s="6"/>
      <c r="C147" s="6"/>
      <c r="D147" s="6"/>
      <c r="E147" s="6"/>
      <c r="F147" s="6"/>
      <c r="L147" s="2" t="s">
        <v>446</v>
      </c>
      <c r="M147" s="2" t="s">
        <v>447</v>
      </c>
    </row>
    <row r="148" spans="1:13" ht="32.799999999999997" customHeight="1" x14ac:dyDescent="0.3">
      <c r="A148" s="6"/>
      <c r="B148" s="6"/>
      <c r="C148" s="6"/>
      <c r="D148" s="6"/>
      <c r="E148" s="6"/>
      <c r="F148" s="6"/>
      <c r="L148" s="2" t="s">
        <v>448</v>
      </c>
      <c r="M148" s="2" t="s">
        <v>449</v>
      </c>
    </row>
    <row r="149" spans="1:13" ht="32.799999999999997" customHeight="1" x14ac:dyDescent="0.3">
      <c r="A149" s="6"/>
      <c r="B149" s="6"/>
      <c r="C149" s="6"/>
      <c r="D149" s="6"/>
      <c r="E149" s="6"/>
      <c r="F149" s="6"/>
      <c r="L149" s="2" t="s">
        <v>450</v>
      </c>
      <c r="M149" s="2" t="s">
        <v>451</v>
      </c>
    </row>
    <row r="150" spans="1:13" ht="32.799999999999997" customHeight="1" x14ac:dyDescent="0.3">
      <c r="A150" s="6"/>
      <c r="B150" s="6"/>
      <c r="C150" s="6"/>
      <c r="D150" s="6"/>
      <c r="E150" s="6"/>
      <c r="F150" s="6"/>
    </row>
    <row r="151" spans="1:13" ht="32.799999999999997" customHeight="1" x14ac:dyDescent="0.3">
      <c r="A151" s="6"/>
      <c r="B151" s="6"/>
      <c r="C151" s="6"/>
      <c r="D151" s="6"/>
      <c r="E151" s="6"/>
      <c r="F151" s="6"/>
    </row>
    <row r="152" spans="1:13" ht="32.799999999999997" customHeight="1" x14ac:dyDescent="0.3">
      <c r="A152" s="6"/>
      <c r="B152" s="6"/>
      <c r="C152" s="6"/>
      <c r="D152" s="6"/>
      <c r="E152" s="6"/>
      <c r="F152" s="6"/>
    </row>
    <row r="153" spans="1:13" ht="32.799999999999997" customHeight="1" x14ac:dyDescent="0.3">
      <c r="A153" s="6"/>
      <c r="B153" s="6"/>
      <c r="C153" s="6"/>
      <c r="D153" s="6"/>
      <c r="E153" s="6"/>
      <c r="F153" s="6"/>
    </row>
  </sheetData>
  <phoneticPr fontId="1" type="noConversion"/>
  <dataValidations count="1">
    <dataValidation type="list" allowBlank="1" showInputMessage="1" showErrorMessage="1" sqref="J3:J10" xr:uid="{06A7CA60-3338-42A8-BDB5-DAD9072CA62A}">
      <formula1>$F$2:$F$14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45CE-B258-480A-BE8C-D7649FF0F741}">
  <dimension ref="A1:Q14"/>
  <sheetViews>
    <sheetView zoomScaleNormal="100" workbookViewId="0">
      <selection activeCell="H16" sqref="H16"/>
    </sheetView>
  </sheetViews>
  <sheetFormatPr defaultRowHeight="32.799999999999997" customHeight="1" x14ac:dyDescent="0.3"/>
  <cols>
    <col min="1" max="1" width="17.875" style="2" bestFit="1" customWidth="1"/>
    <col min="2" max="3" width="8.375" style="2" customWidth="1"/>
    <col min="4" max="4" width="77.375" style="2" bestFit="1" customWidth="1"/>
    <col min="5" max="5" width="8.375" style="2" customWidth="1"/>
    <col min="6" max="6" width="25.75" style="2" bestFit="1" customWidth="1"/>
    <col min="7" max="12" width="9.125" style="2" customWidth="1"/>
    <col min="13" max="16384" width="9" style="2"/>
  </cols>
  <sheetData>
    <row r="1" spans="1:17" ht="32.799999999999997" customHeight="1" x14ac:dyDescent="0.3">
      <c r="A1" s="2" t="s">
        <v>2</v>
      </c>
      <c r="B1" s="2" t="s">
        <v>3</v>
      </c>
      <c r="C1" s="2" t="s">
        <v>4</v>
      </c>
      <c r="D1" s="5" t="s">
        <v>5</v>
      </c>
      <c r="E1" s="5" t="s">
        <v>6</v>
      </c>
      <c r="F1" s="5" t="s">
        <v>281</v>
      </c>
    </row>
    <row r="2" spans="1:17" ht="32.799999999999997" customHeight="1" x14ac:dyDescent="0.3">
      <c r="A2" s="2" t="s">
        <v>282</v>
      </c>
      <c r="B2" s="2" t="s">
        <v>283</v>
      </c>
      <c r="C2" s="2" t="s">
        <v>284</v>
      </c>
      <c r="D2" s="2" t="str">
        <f>"https://lh3.googleusercontent.com/d/" &amp; 강화이미지[[#This Row],[파일ID]]</f>
        <v>https://lh3.googleusercontent.com/d/1j2n68ViiSkHmWIfIxjD6rMULXSIgJiu5</v>
      </c>
      <c r="E2" s="5" t="str">
        <f>SUBSTITUTE(강화이미지[[#This Row],[파일명]], ".png","")</f>
        <v>13</v>
      </c>
      <c r="F2" s="5" t="e" vm="159">
        <f>_xlfn.IMAGE(강화이미지[[#This Row],[함수용주소를 DIRECT주소로 변경]],강화이미지[[#This Row],[대체텍스트]],3,30.6,49.5)</f>
        <v>#VALUE!</v>
      </c>
      <c r="P2" s="3">
        <v>1</v>
      </c>
      <c r="Q2" s="4">
        <f>P2*37.8</f>
        <v>37.799999999999997</v>
      </c>
    </row>
    <row r="3" spans="1:17" ht="32.799999999999997" customHeight="1" x14ac:dyDescent="0.3">
      <c r="A3" s="2" t="s">
        <v>285</v>
      </c>
      <c r="B3" s="2" t="s">
        <v>286</v>
      </c>
      <c r="C3" s="2" t="s">
        <v>287</v>
      </c>
      <c r="D3" s="2" t="str">
        <f>"https://lh3.googleusercontent.com/d/" &amp; 강화이미지[[#This Row],[파일ID]]</f>
        <v>https://lh3.googleusercontent.com/d/1Kg8VfFFutotCAcuoEpMW1ODHXYNt0OXI</v>
      </c>
      <c r="E3" s="5" t="str">
        <f>SUBSTITUTE(강화이미지[[#This Row],[파일명]], ".png","")</f>
        <v>12</v>
      </c>
      <c r="F3" s="5" t="e" vm="160">
        <f>_xlfn.IMAGE(강화이미지[[#This Row],[함수용주소를 DIRECT주소로 변경]],강화이미지[[#This Row],[대체텍스트]],3,30.6,49.5)</f>
        <v>#VALUE!</v>
      </c>
      <c r="O3" s="2" t="s">
        <v>7</v>
      </c>
      <c r="P3" s="3">
        <v>0.89</v>
      </c>
      <c r="Q3" s="4">
        <f>P3*37.8</f>
        <v>33.641999999999996</v>
      </c>
    </row>
    <row r="4" spans="1:17" ht="32.799999999999997" customHeight="1" x14ac:dyDescent="0.3">
      <c r="A4" s="2" t="s">
        <v>288</v>
      </c>
      <c r="B4" s="2" t="s">
        <v>289</v>
      </c>
      <c r="C4" s="2" t="s">
        <v>290</v>
      </c>
      <c r="D4" s="2" t="str">
        <f>"https://lh3.googleusercontent.com/d/" &amp; 강화이미지[[#This Row],[파일ID]]</f>
        <v>https://lh3.googleusercontent.com/d/15hZFMkzryYozJbT19cQ6CF7Mimvr19EJ</v>
      </c>
      <c r="E4" s="5" t="str">
        <f>SUBSTITUTE(강화이미지[[#This Row],[파일명]], ".png","")</f>
        <v>11</v>
      </c>
      <c r="F4" s="5" t="e" vm="161">
        <f>_xlfn.IMAGE(강화이미지[[#This Row],[함수용주소를 DIRECT주소로 변경]],강화이미지[[#This Row],[대체텍스트]],3,30.6,49.5)</f>
        <v>#VALUE!</v>
      </c>
      <c r="O4" s="2" t="s">
        <v>8</v>
      </c>
      <c r="P4" s="3">
        <v>1.1100000000000001</v>
      </c>
      <c r="Q4" s="4">
        <f>P4*37.8</f>
        <v>41.957999999999998</v>
      </c>
    </row>
    <row r="5" spans="1:17" ht="32.799999999999997" customHeight="1" x14ac:dyDescent="0.3">
      <c r="A5" s="2" t="s">
        <v>291</v>
      </c>
      <c r="B5" s="2" t="s">
        <v>292</v>
      </c>
      <c r="C5" s="2" t="s">
        <v>293</v>
      </c>
      <c r="D5" s="2" t="str">
        <f>"https://lh3.googleusercontent.com/d/" &amp; 강화이미지[[#This Row],[파일ID]]</f>
        <v>https://lh3.googleusercontent.com/d/1a7A7bY1__lJjF-NQUlaSmN1sJ4Pr2xjl</v>
      </c>
      <c r="E5" s="5" t="str">
        <f>SUBSTITUTE(강화이미지[[#This Row],[파일명]], ".png","")</f>
        <v>10</v>
      </c>
      <c r="F5" s="5" t="e" vm="162">
        <f>_xlfn.IMAGE(강화이미지[[#This Row],[함수용주소를 DIRECT주소로 변경]],강화이미지[[#This Row],[대체텍스트]],3,30.6,49.5)</f>
        <v>#VALUE!</v>
      </c>
      <c r="P5" s="3"/>
      <c r="Q5" s="4"/>
    </row>
    <row r="6" spans="1:17" ht="32.799999999999997" customHeight="1" x14ac:dyDescent="0.3">
      <c r="A6" s="2" t="s">
        <v>294</v>
      </c>
      <c r="B6" s="2" t="s">
        <v>295</v>
      </c>
      <c r="C6" s="2" t="s">
        <v>296</v>
      </c>
      <c r="D6" s="2" t="str">
        <f>"https://lh3.googleusercontent.com/d/" &amp; 강화이미지[[#This Row],[파일ID]]</f>
        <v>https://lh3.googleusercontent.com/d/1kq8geM4lHA7HOdjB8PoAT6TMZO-hrPC-</v>
      </c>
      <c r="E6" s="5" t="str">
        <f>SUBSTITUTE(강화이미지[[#This Row],[파일명]], ".png","")</f>
        <v>9</v>
      </c>
      <c r="F6" s="5" t="e" vm="163">
        <f>_xlfn.IMAGE(강화이미지[[#This Row],[함수용주소를 DIRECT주소로 변경]],강화이미지[[#This Row],[대체텍스트]],3,30.6,49.5)</f>
        <v>#VALUE!</v>
      </c>
      <c r="O6" s="2" t="s">
        <v>7</v>
      </c>
      <c r="P6" s="3">
        <v>0.81</v>
      </c>
      <c r="Q6" s="4">
        <f>P6*37.8</f>
        <v>30.617999999999999</v>
      </c>
    </row>
    <row r="7" spans="1:17" ht="32.799999999999997" customHeight="1" x14ac:dyDescent="0.3">
      <c r="A7" s="2" t="s">
        <v>297</v>
      </c>
      <c r="B7" s="2" t="s">
        <v>298</v>
      </c>
      <c r="C7" s="2" t="s">
        <v>299</v>
      </c>
      <c r="D7" s="2" t="str">
        <f>"https://lh3.googleusercontent.com/d/" &amp; 강화이미지[[#This Row],[파일ID]]</f>
        <v>https://lh3.googleusercontent.com/d/10q-MUKaBCpEekhCqJRMZLeb9nA633jim</v>
      </c>
      <c r="E7" s="5" t="str">
        <f>SUBSTITUTE(강화이미지[[#This Row],[파일명]], ".png","")</f>
        <v>8</v>
      </c>
      <c r="F7" s="5" t="e" vm="164">
        <f>_xlfn.IMAGE(강화이미지[[#This Row],[함수용주소를 DIRECT주소로 변경]],강화이미지[[#This Row],[대체텍스트]],3,30.6,49.5)</f>
        <v>#VALUE!</v>
      </c>
      <c r="O7" s="2" t="s">
        <v>8</v>
      </c>
      <c r="P7" s="3">
        <v>1.31</v>
      </c>
      <c r="Q7" s="4">
        <f>P7*37.8</f>
        <v>49.518000000000001</v>
      </c>
    </row>
    <row r="8" spans="1:17" ht="32.799999999999997" customHeight="1" x14ac:dyDescent="0.3">
      <c r="A8" s="2" t="s">
        <v>300</v>
      </c>
      <c r="B8" s="2" t="s">
        <v>301</v>
      </c>
      <c r="C8" s="2" t="s">
        <v>302</v>
      </c>
      <c r="D8" s="2" t="str">
        <f>"https://lh3.googleusercontent.com/d/" &amp; 강화이미지[[#This Row],[파일ID]]</f>
        <v>https://lh3.googleusercontent.com/d/1mOb3C6uEV5uD1FZkUOL3hEx0bKAekDNY</v>
      </c>
      <c r="E8" s="5" t="str">
        <f>SUBSTITUTE(강화이미지[[#This Row],[파일명]], ".png","")</f>
        <v>7</v>
      </c>
      <c r="F8" s="5" t="e" vm="165">
        <f>_xlfn.IMAGE(강화이미지[[#This Row],[함수용주소를 DIRECT주소로 변경]],강화이미지[[#This Row],[대체텍스트]],3,30.6,49.5)</f>
        <v>#VALUE!</v>
      </c>
      <c r="P8" s="3"/>
      <c r="Q8" s="4"/>
    </row>
    <row r="9" spans="1:17" ht="32.799999999999997" customHeight="1" x14ac:dyDescent="0.3">
      <c r="A9" s="2" t="s">
        <v>303</v>
      </c>
      <c r="B9" s="2" t="s">
        <v>304</v>
      </c>
      <c r="C9" s="2" t="s">
        <v>305</v>
      </c>
      <c r="D9" s="2" t="str">
        <f>"https://lh3.googleusercontent.com/d/" &amp; 강화이미지[[#This Row],[파일ID]]</f>
        <v>https://lh3.googleusercontent.com/d/1ZX_tvCHLbGbGBQ7fik4UJa3Jsf8eiUzw</v>
      </c>
      <c r="E9" s="5" t="str">
        <f>SUBSTITUTE(강화이미지[[#This Row],[파일명]], ".png","")</f>
        <v>6</v>
      </c>
      <c r="F9" s="5" t="e" vm="166">
        <f>_xlfn.IMAGE(강화이미지[[#This Row],[함수용주소를 DIRECT주소로 변경]],강화이미지[[#This Row],[대체텍스트]],3,30.6,49.5)</f>
        <v>#VALUE!</v>
      </c>
      <c r="P9" s="3"/>
      <c r="Q9" s="4"/>
    </row>
    <row r="10" spans="1:17" ht="32.799999999999997" customHeight="1" x14ac:dyDescent="0.3">
      <c r="A10" s="2" t="s">
        <v>306</v>
      </c>
      <c r="B10" s="2" t="s">
        <v>307</v>
      </c>
      <c r="C10" s="2" t="s">
        <v>308</v>
      </c>
      <c r="D10" s="2" t="str">
        <f>"https://lh3.googleusercontent.com/d/" &amp; 강화이미지[[#This Row],[파일ID]]</f>
        <v>https://lh3.googleusercontent.com/d/16c9kuAVT7nf9iHvuuig0axH07JYOnjrs</v>
      </c>
      <c r="E10" s="5" t="str">
        <f>SUBSTITUTE(강화이미지[[#This Row],[파일명]], ".png","")</f>
        <v>5</v>
      </c>
      <c r="F10" s="5" t="e" vm="167">
        <f>_xlfn.IMAGE(강화이미지[[#This Row],[함수용주소를 DIRECT주소로 변경]],강화이미지[[#This Row],[대체텍스트]],3,30.6,49.5)</f>
        <v>#VALUE!</v>
      </c>
      <c r="P10" s="3"/>
      <c r="Q10" s="4"/>
    </row>
    <row r="11" spans="1:17" ht="32.799999999999997" customHeight="1" x14ac:dyDescent="0.3">
      <c r="A11" s="2" t="s">
        <v>309</v>
      </c>
      <c r="B11" s="2" t="s">
        <v>310</v>
      </c>
      <c r="C11" s="2" t="s">
        <v>311</v>
      </c>
      <c r="D11" s="2" t="str">
        <f>"https://lh3.googleusercontent.com/d/" &amp; 강화이미지[[#This Row],[파일ID]]</f>
        <v>https://lh3.googleusercontent.com/d/1WOQDFOZsqrND3YKk2I7opm2RWvcoW3BQ</v>
      </c>
      <c r="E11" s="5" t="str">
        <f>SUBSTITUTE(강화이미지[[#This Row],[파일명]], ".png","")</f>
        <v>4</v>
      </c>
      <c r="F11" s="5" t="e" vm="168">
        <f>_xlfn.IMAGE(강화이미지[[#This Row],[함수용주소를 DIRECT주소로 변경]],강화이미지[[#This Row],[대체텍스트]],3,30.6,49.5)</f>
        <v>#VALUE!</v>
      </c>
      <c r="P11" s="3"/>
      <c r="Q11" s="4"/>
    </row>
    <row r="12" spans="1:17" ht="32.799999999999997" customHeight="1" x14ac:dyDescent="0.3">
      <c r="A12" s="2" t="s">
        <v>312</v>
      </c>
      <c r="B12" s="2" t="s">
        <v>313</v>
      </c>
      <c r="C12" s="2" t="s">
        <v>314</v>
      </c>
      <c r="D12" s="2" t="str">
        <f>"https://lh3.googleusercontent.com/d/" &amp; 강화이미지[[#This Row],[파일ID]]</f>
        <v>https://lh3.googleusercontent.com/d/1SCXd2w-DZDwgKeaim3kdp6OJx1RmPLBe</v>
      </c>
      <c r="E12" s="5" t="str">
        <f>SUBSTITUTE(강화이미지[[#This Row],[파일명]], ".png","")</f>
        <v>3</v>
      </c>
      <c r="F12" s="5" t="e" vm="169">
        <f>_xlfn.IMAGE(강화이미지[[#This Row],[함수용주소를 DIRECT주소로 변경]],강화이미지[[#This Row],[대체텍스트]],3,30.6,49.5)</f>
        <v>#VALUE!</v>
      </c>
      <c r="P12" s="3"/>
      <c r="Q12" s="4"/>
    </row>
    <row r="13" spans="1:17" ht="32.799999999999997" customHeight="1" x14ac:dyDescent="0.3">
      <c r="A13" s="2" t="s">
        <v>315</v>
      </c>
      <c r="B13" s="2" t="s">
        <v>316</v>
      </c>
      <c r="C13" s="2" t="s">
        <v>317</v>
      </c>
      <c r="D13" s="2" t="str">
        <f>"https://lh3.googleusercontent.com/d/" &amp; 강화이미지[[#This Row],[파일ID]]</f>
        <v>https://lh3.googleusercontent.com/d/1vKIxZuHYSAOroQtgcYupTxuTkpCkC-ax</v>
      </c>
      <c r="E13" s="5" t="str">
        <f>SUBSTITUTE(강화이미지[[#This Row],[파일명]], ".png","")</f>
        <v>2</v>
      </c>
      <c r="F13" s="5" t="e" vm="170">
        <f>_xlfn.IMAGE(강화이미지[[#This Row],[함수용주소를 DIRECT주소로 변경]],강화이미지[[#This Row],[대체텍스트]],3,30.6,49.5)</f>
        <v>#VALUE!</v>
      </c>
      <c r="P13" s="3"/>
      <c r="Q13" s="4"/>
    </row>
    <row r="14" spans="1:17" ht="32.799999999999997" customHeight="1" x14ac:dyDescent="0.3">
      <c r="A14" s="2" t="s">
        <v>318</v>
      </c>
      <c r="B14" s="2" t="s">
        <v>319</v>
      </c>
      <c r="C14" s="2" t="s">
        <v>320</v>
      </c>
      <c r="D14" s="2" t="str">
        <f>"https://lh3.googleusercontent.com/d/" &amp; 강화이미지[[#This Row],[파일ID]]</f>
        <v>https://lh3.googleusercontent.com/d/1YePAkof6PzlJ5xJdGtjcXFvpB8cLVaS9</v>
      </c>
      <c r="E14" s="5" t="str">
        <f>SUBSTITUTE(강화이미지[[#This Row],[파일명]], ".png","")</f>
        <v>1</v>
      </c>
      <c r="F14" s="5" t="e" vm="171">
        <f>_xlfn.IMAGE(강화이미지[[#This Row],[함수용주소를 DIRECT주소로 변경]],강화이미지[[#This Row],[대체텍스트]],3,30.6,49.5)</f>
        <v>#VALUE!</v>
      </c>
      <c r="P14" s="3"/>
      <c r="Q14" s="4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원본DB</vt:lpstr>
      <vt:lpstr>시즌이미지DB</vt:lpstr>
      <vt:lpstr>신특이미지DB</vt:lpstr>
      <vt:lpstr>강화단계이미지DB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원영 송</dc:creator>
  <cp:lastModifiedBy>원영 송</cp:lastModifiedBy>
  <dcterms:created xsi:type="dcterms:W3CDTF">2026-04-15T06:59:06Z</dcterms:created>
  <dcterms:modified xsi:type="dcterms:W3CDTF">2026-09-11T00:22:23Z</dcterms:modified>
</cp:coreProperties>
</file>